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นสถ.ปรัชญา\งาน\LPA 2569\"/>
    </mc:Choice>
  </mc:AlternateContent>
  <xr:revisionPtr revIDLastSave="0" documentId="13_ncr:1_{31828697-687D-47FA-93AE-91A09657EFE1}" xr6:coauthVersionLast="47" xr6:coauthVersionMax="47" xr10:uidLastSave="{00000000-0000-0000-0000-000000000000}"/>
  <bookViews>
    <workbookView xWindow="-105" yWindow="0" windowWidth="14610" windowHeight="15585" firstSheet="1" activeTab="2" xr2:uid="{B6A8AC77-CF03-4ECA-883A-459C4A3D99EF}"/>
  </bookViews>
  <sheets>
    <sheet name="Sheet1" sheetId="1" state="hidden" r:id="rId1"/>
    <sheet name="LPA" sheetId="2" r:id="rId2"/>
    <sheet name="HPA" sheetId="3" r:id="rId3"/>
  </sheets>
  <definedNames>
    <definedName name="_xlnm.Print_Titles" localSheetId="2">HPA!$3:$4</definedName>
    <definedName name="_xlnm.Print_Titles" localSheetId="1">LPA!$3:$4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" i="3" l="1"/>
  <c r="F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F89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47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5" i="2"/>
  <c r="G89" i="2"/>
  <c r="G88" i="1"/>
  <c r="F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</calcChain>
</file>

<file path=xl/sharedStrings.xml><?xml version="1.0" encoding="utf-8"?>
<sst xmlns="http://schemas.openxmlformats.org/spreadsheetml/2006/main" count="494" uniqueCount="171">
  <si>
    <t>ที่</t>
  </si>
  <si>
    <t>จังหวัด</t>
  </si>
  <si>
    <t>อำเภอ</t>
  </si>
  <si>
    <t>อปท.</t>
  </si>
  <si>
    <t>อยู่ระหว่างดำเนินการ</t>
  </si>
  <si>
    <t>หมายเหตุ</t>
  </si>
  <si>
    <t>(ใส่เลข 1)</t>
  </si>
  <si>
    <t>จันทบุรี</t>
  </si>
  <si>
    <t>เมืองจันทบุรี</t>
  </si>
  <si>
    <t>อบจ.จันทบุรี</t>
  </si>
  <si>
    <t>ทม.จันทบุรี</t>
  </si>
  <si>
    <t>ทม.ท่าช้าง</t>
  </si>
  <si>
    <t>ทม.จันทนิมิต</t>
  </si>
  <si>
    <t>ทต.หนองบัว</t>
  </si>
  <si>
    <t>ทต.พลับพลานารายณ์</t>
  </si>
  <si>
    <t>ทต.บางกะจะ</t>
  </si>
  <si>
    <t>ทม.เกาะขวาง</t>
  </si>
  <si>
    <t>ทต.แสลง</t>
  </si>
  <si>
    <t>ทต.ค่ายเนินวง</t>
  </si>
  <si>
    <t>+</t>
  </si>
  <si>
    <t>ทต.พลับพลา</t>
  </si>
  <si>
    <t>อบต.ท่าช้าง</t>
  </si>
  <si>
    <t>อบต.หนองบัว</t>
  </si>
  <si>
    <t>อบต.คมบาง</t>
  </si>
  <si>
    <t>อบต.คลองนารายณ์</t>
  </si>
  <si>
    <t>ขลุง</t>
  </si>
  <si>
    <t>ทม.ขลุง</t>
  </si>
  <si>
    <t>ทต.บ่อเวฬุ</t>
  </si>
  <si>
    <t>ทต.บ่อ</t>
  </si>
  <si>
    <t>ทต.เกวียนหัก</t>
  </si>
  <si>
    <t>ทต.ตกพรม</t>
  </si>
  <si>
    <t>ทต.วันยาว</t>
  </si>
  <si>
    <t>ทต.ซึ้ง</t>
  </si>
  <si>
    <t>อบต.วังสรรพรส</t>
  </si>
  <si>
    <t>อบต.ตะปอน</t>
  </si>
  <si>
    <t>อบต.บางชัน</t>
  </si>
  <si>
    <t>อบต.มาบไพ</t>
  </si>
  <si>
    <t>อบต.ตรอกนอง</t>
  </si>
  <si>
    <t>ท่าใหม่</t>
  </si>
  <si>
    <t>ทม.ท่าใหม่</t>
  </si>
  <si>
    <t>ทต.หนองคล้า</t>
  </si>
  <si>
    <t>ทต.เนินสูง</t>
  </si>
  <si>
    <t>ทต.เขาบายศรี</t>
  </si>
  <si>
    <t>ทต.เขาวัว-พลอยแหวน</t>
  </si>
  <si>
    <t>ทต.สองพี่น้อง</t>
  </si>
  <si>
    <t>อบต.ทุ่งเบญจา</t>
  </si>
  <si>
    <t>อบต.เขาแก้ว</t>
  </si>
  <si>
    <t>อบต.โขมง</t>
  </si>
  <si>
    <t>อบต.คลองขุด</t>
  </si>
  <si>
    <t>อบต.รำพัน</t>
  </si>
  <si>
    <t>อบต.ตะกาดเง้า</t>
  </si>
  <si>
    <t>อบต.สีพยา-บ่อพุ</t>
  </si>
  <si>
    <t>โป่งน้ำร้อน</t>
  </si>
  <si>
    <t>ทต.โป่งน้ำร้อน</t>
  </si>
  <si>
    <t>ทต.หนองตาคง</t>
  </si>
  <si>
    <t>ทต.คลองใหญ่</t>
  </si>
  <si>
    <t>ทต.ทับไทร</t>
  </si>
  <si>
    <t>อบต.โป่งน้ำร้อน</t>
  </si>
  <si>
    <t>อบต.เทพนิมิต</t>
  </si>
  <si>
    <t>มะขาม</t>
  </si>
  <si>
    <t>ทต.มะขาม</t>
  </si>
  <si>
    <t>ทต.อ่างคีรี</t>
  </si>
  <si>
    <t>ทต.มะขามเมืองใหม่</t>
  </si>
  <si>
    <t>ทต.วังแซ้ม</t>
  </si>
  <si>
    <t>ทต.ท่าหลวง</t>
  </si>
  <si>
    <t>ทต.ฉมัน</t>
  </si>
  <si>
    <t>ทต.ปัถวี</t>
  </si>
  <si>
    <t>เขาคิชฌกูฏ</t>
  </si>
  <si>
    <t>ทต.พลวง</t>
  </si>
  <si>
    <t>ทต.ชากไทย</t>
  </si>
  <si>
    <t>ทต.ตะเคียนทอง</t>
  </si>
  <si>
    <t>ทต.จันทเขลม</t>
  </si>
  <si>
    <t>ทต.คลองพลู</t>
  </si>
  <si>
    <t>สอยดาว</t>
  </si>
  <si>
    <t>ทต.สอยดาว</t>
  </si>
  <si>
    <t>ทต.ทับช้าง</t>
  </si>
  <si>
    <t>อบต.ทรายขาว</t>
  </si>
  <si>
    <t>อบต.ปะตง</t>
  </si>
  <si>
    <t>อบต.ทุ่งขนาน</t>
  </si>
  <si>
    <t>อบต.สะตอน</t>
  </si>
  <si>
    <t>แก่งหางแมว</t>
  </si>
  <si>
    <t>ทต.พวา</t>
  </si>
  <si>
    <t>อบต.แก่งหางแมว</t>
  </si>
  <si>
    <t>อบต.ขุนซ่อง</t>
  </si>
  <si>
    <t>อบต.สามพี่น้อง</t>
  </si>
  <si>
    <t>อบต.เขาวงกต</t>
  </si>
  <si>
    <t>นายายอาม</t>
  </si>
  <si>
    <t>ทต.นายายอาม</t>
  </si>
  <si>
    <t>ทต.ช้างข้าม</t>
  </si>
  <si>
    <t>ทต.สนามไชย</t>
  </si>
  <si>
    <t>อบต.นายายอาม</t>
  </si>
  <si>
    <t>อบต.วังโตนด</t>
  </si>
  <si>
    <t>อบต.วังใหม่</t>
  </si>
  <si>
    <t>อบต.กระแจะ</t>
  </si>
  <si>
    <t>แหลมสิงห์</t>
  </si>
  <si>
    <t>ทต.ปากน้ำแหลมสิงห์</t>
  </si>
  <si>
    <t>ทต.พลิ้ว</t>
  </si>
  <si>
    <t>อบต.บางกะไชย</t>
  </si>
  <si>
    <t>อบต.บางสระเก้า</t>
  </si>
  <si>
    <t>อบต.หนองชิ่ม</t>
  </si>
  <si>
    <t>อบต.เกาะเปริด</t>
  </si>
  <si>
    <t>รวม</t>
  </si>
  <si>
    <t xml:space="preserve">หมายเหตุ : </t>
  </si>
  <si>
    <t xml:space="preserve">      ชื่อ</t>
  </si>
  <si>
    <t>ผู้รายงาน</t>
  </si>
  <si>
    <t xml:space="preserve">                            </t>
  </si>
  <si>
    <t>ตำแหน่ง</t>
  </si>
  <si>
    <t>นักส่งเสริมการปกครองท้องถิ่นปฏิบัติกการ</t>
  </si>
  <si>
    <t xml:space="preserve">       สีเหลือง คือ ยังไม่ได้รายงานผล</t>
  </si>
  <si>
    <t>ยืนยันข้อมูล</t>
  </si>
  <si>
    <t>การยืนยันข้อมูลในระบบ LPA (ทีมประเมิน)</t>
  </si>
  <si>
    <t>P</t>
  </si>
  <si>
    <r>
      <t xml:space="preserve">ไม่ผ่านเกณฑ์
</t>
    </r>
    <r>
      <rPr>
        <b/>
        <sz val="12"/>
        <rFont val="TH SarabunIT๙"/>
        <family val="2"/>
      </rPr>
      <t>(คะแนนรายด้านน้อยกว่าร้อยละ 70)</t>
    </r>
  </si>
  <si>
    <r>
      <rPr>
        <b/>
        <sz val="16"/>
        <rFont val="TH SarabunIT๙"/>
        <family val="2"/>
      </rPr>
      <t>ผ่านเกณฑ์</t>
    </r>
    <r>
      <rPr>
        <b/>
        <sz val="12"/>
        <rFont val="TH SarabunIT๙"/>
        <family val="2"/>
      </rPr>
      <t xml:space="preserve">
(คะแนนเฉลี่ยรวม 5 ด้าน ไม่น้อยกว่า
ร้อยละ 70 และคะแนนรายด้าน
ไม่น้อยกว่าร้อยละ 70)</t>
    </r>
  </si>
  <si>
    <r>
      <t xml:space="preserve">ไม่ผ่านเกณฑ์
</t>
    </r>
    <r>
      <rPr>
        <b/>
        <sz val="12"/>
        <rFont val="TH SarabunIT๙"/>
        <family val="2"/>
      </rPr>
      <t>(คะแนนเฉลี่ยรวมน้อยกว่าร้อยละ 70)</t>
    </r>
  </si>
  <si>
    <t>ผลการประเมิน</t>
  </si>
  <si>
    <t xml:space="preserve">รายงานผลการประเมินประสิทธิภาพขององค์กรปกครองส่วนท้องถิ่น (LPA) ประจำปี 2569 </t>
  </si>
  <si>
    <t>เทศบาลเมืองจันทบุรี</t>
  </si>
  <si>
    <t>เทศบาลเมืองท่าช้าง</t>
  </si>
  <si>
    <t>เทศบาลเมืองจันทนิมิต</t>
  </si>
  <si>
    <t>เทศบาลเมืองเกาะขวาง</t>
  </si>
  <si>
    <t>เทศบาลตำบลแสลง</t>
  </si>
  <si>
    <t>เทศบาลตำบลบางกะจะ</t>
  </si>
  <si>
    <t>เทศบาลตำบลพลับพลานารายณ์</t>
  </si>
  <si>
    <t>เทศบาลตำบลหนองบัว</t>
  </si>
  <si>
    <t>เทศบาลตำบลค่ายเนินวง</t>
  </si>
  <si>
    <t>เทศบาลตำบลพลับพลา</t>
  </si>
  <si>
    <t>เทศบาลเมืองท่าช้างจันทบูร</t>
  </si>
  <si>
    <t>เทศบาลเมืองขลุง</t>
  </si>
  <si>
    <t>เทศบาลตำบลตกพรม</t>
  </si>
  <si>
    <t>เทศบาลตำบลบ่อ</t>
  </si>
  <si>
    <t>เทศบาลตำบลเกวียนหัก</t>
  </si>
  <si>
    <t>เทศบาลตำบลซึ้ง</t>
  </si>
  <si>
    <t>เทศบาลตำบลบ่อเวฬุ</t>
  </si>
  <si>
    <t>เทศบาลตำบลวันยาว</t>
  </si>
  <si>
    <t>เทศบาลเมืองท่าใหม่</t>
  </si>
  <si>
    <t>เทศบาลตำบลเนินสูง</t>
  </si>
  <si>
    <t>เทศบาลตำบลหนองคล้า</t>
  </si>
  <si>
    <t>เทศบาลตำบลเขาบายศรี</t>
  </si>
  <si>
    <t>เทศบาลตำบลเขาวัว-พลอยแหวน</t>
  </si>
  <si>
    <t>เทศบาลตำบลสองพี่น้อง</t>
  </si>
  <si>
    <t>เทศบาลตำบลตะกาดเง้า</t>
  </si>
  <si>
    <t>เทศบาลตำบลคลองขุด</t>
  </si>
  <si>
    <t>เทศบาลตำบลโป่งน้ำร้อน</t>
  </si>
  <si>
    <t>เทศบาลตำบลหนองตาคง</t>
  </si>
  <si>
    <t>เทศบาลตำบลคลองใหญ่</t>
  </si>
  <si>
    <t>เทศบาลตำบลทับไทร</t>
  </si>
  <si>
    <t>เทศบาลตำบลเทพนิมิต</t>
  </si>
  <si>
    <t>เทศบาลตำบลวังแซ้ม</t>
  </si>
  <si>
    <t>เทศบาลตำบลท่าหลวง</t>
  </si>
  <si>
    <t>เทศบาลตำบลปัถวี</t>
  </si>
  <si>
    <t>เทศบาลตำบลฉมัน</t>
  </si>
  <si>
    <t>เทศบาลตำบลมะขาม</t>
  </si>
  <si>
    <t>เทศบาลตำบลมะขามเมืองใหม่</t>
  </si>
  <si>
    <t>เทศบาลตำบลอ่างคีรี</t>
  </si>
  <si>
    <t>เทศบาลตำบลตะเคียนทอง</t>
  </si>
  <si>
    <t>เทศบาลตำบลชากไทย</t>
  </si>
  <si>
    <t>เทศบาลตำบลคลองพลู</t>
  </si>
  <si>
    <t>เทศบาลตำบลจันทเขลม</t>
  </si>
  <si>
    <t>เทศบาลตำบลพลวง</t>
  </si>
  <si>
    <t>เทศบาลตำบลปะตง</t>
  </si>
  <si>
    <t>เทศบาลตำบลสอยดาว</t>
  </si>
  <si>
    <t>เทศบาลตำบลทับช้าง</t>
  </si>
  <si>
    <t>เทศบาลตำบลพวา</t>
  </si>
  <si>
    <t>เทศบาลตำบลนายายอาม</t>
  </si>
  <si>
    <t>เทศบาลตำบลปากน้ำแหลมสิงห์</t>
  </si>
  <si>
    <t>เทศบาลตำบลพลิ้ว</t>
  </si>
  <si>
    <t>เทศบาลตำบลบางสระเก้า</t>
  </si>
  <si>
    <t>รายงานผลการประเมินองค์กรปกครองส่วนท้องถิ่นที่มีศักยภาพสูง (HPA) ประจำปี 2569</t>
  </si>
  <si>
    <r>
      <rPr>
        <b/>
        <sz val="16"/>
        <rFont val="TH SarabunIT๙"/>
        <family val="2"/>
      </rPr>
      <t>ผ่านเกณฑ์</t>
    </r>
    <r>
      <rPr>
        <b/>
        <sz val="12"/>
        <rFont val="TH SarabunIT๙"/>
        <family val="2"/>
      </rPr>
      <t xml:space="preserve">
(คะแนนเฉลี่ยรวมไม่น้อยกว่าร้อยละ 70)</t>
    </r>
  </si>
  <si>
    <t>นักส่งเสริมการปกครองท้องถิ่นปฏิบัติการ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</si>
</sst>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charset val="222"/>
      <scheme val="minor"/>
    </font>
    <font>
      <b/>
      <sz val="16"/>
      <color theme="1"/>
      <name val="TH SarabunIT๙"/>
      <family val="2"/>
    </font>
    <font>
      <sz val="11"/>
      <color theme="1"/>
      <name val="TH SarabunIT๙"/>
      <family val="2"/>
    </font>
    <font>
      <sz val="16"/>
      <color theme="1"/>
      <name val="TH SarabunIT๙"/>
      <family val="2"/>
    </font>
    <font>
      <sz val="11"/>
      <name val="TH SarabunIT๙"/>
      <family val="2"/>
    </font>
    <font>
      <sz val="14"/>
      <name val="Cordia New"/>
      <family val="2"/>
    </font>
    <font>
      <b/>
      <sz val="16"/>
      <name val="TH SarabunIT๙"/>
      <family val="2"/>
    </font>
    <font>
      <sz val="18"/>
      <name val="TH SarabunIT๙"/>
      <family val="2"/>
    </font>
    <font>
      <b/>
      <sz val="18"/>
      <name val="TH SarabunIT๙"/>
      <family val="2"/>
    </font>
    <font>
      <b/>
      <sz val="18"/>
      <color theme="1"/>
      <name val="TH SarabunIT๙"/>
      <family val="2"/>
    </font>
    <font>
      <sz val="16"/>
      <color rgb="FFFF0000"/>
      <name val="TH SarabunIT๙"/>
      <family val="2"/>
    </font>
    <font>
      <sz val="16"/>
      <color theme="1"/>
      <name val="Wingdings 2"/>
      <family val="1"/>
      <charset val="2"/>
    </font>
    <font>
      <b/>
      <sz val="12"/>
      <name val="TH SarabunIT๙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86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top"/>
    </xf>
    <xf numFmtId="0" fontId="7" fillId="2" borderId="0" xfId="0" applyFont="1" applyFill="1" applyAlignment="1">
      <alignment horizontal="left" vertical="center"/>
    </xf>
    <xf numFmtId="0" fontId="7" fillId="2" borderId="6" xfId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6" fillId="2" borderId="6" xfId="1" applyFont="1" applyFill="1" applyBorder="1" applyAlignment="1">
      <alignment vertical="top"/>
    </xf>
    <xf numFmtId="0" fontId="7" fillId="2" borderId="6" xfId="1" applyFont="1" applyFill="1" applyBorder="1" applyAlignment="1">
      <alignment vertical="top"/>
    </xf>
    <xf numFmtId="0" fontId="7" fillId="2" borderId="6" xfId="1" applyFont="1" applyFill="1" applyBorder="1" applyAlignment="1">
      <alignment horizontal="left" vertical="top"/>
    </xf>
    <xf numFmtId="0" fontId="3" fillId="2" borderId="10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3" xfId="0" applyFont="1" applyFill="1" applyBorder="1"/>
    <xf numFmtId="0" fontId="3" fillId="2" borderId="7" xfId="0" applyFont="1" applyFill="1" applyBorder="1" applyAlignment="1">
      <alignment horizontal="center" vertical="center"/>
    </xf>
    <xf numFmtId="0" fontId="8" fillId="2" borderId="6" xfId="1" applyFont="1" applyFill="1" applyBorder="1" applyAlignment="1">
      <alignment vertical="top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/>
    <xf numFmtId="0" fontId="9" fillId="2" borderId="6" xfId="0" applyFont="1" applyFill="1" applyBorder="1" applyAlignment="1">
      <alignment vertical="top"/>
    </xf>
    <xf numFmtId="0" fontId="1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left"/>
    </xf>
    <xf numFmtId="0" fontId="10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4" borderId="6" xfId="1" applyFont="1" applyFill="1" applyBorder="1" applyAlignment="1">
      <alignment vertical="top"/>
    </xf>
    <xf numFmtId="0" fontId="3" fillId="2" borderId="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3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11" fillId="2" borderId="14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6" fillId="0" borderId="5" xfId="1" applyFont="1" applyBorder="1" applyAlignment="1">
      <alignment horizontal="left" vertical="center"/>
    </xf>
    <xf numFmtId="0" fontId="6" fillId="2" borderId="5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/>
    </xf>
    <xf numFmtId="0" fontId="6" fillId="2" borderId="6" xfId="1" applyFont="1" applyFill="1" applyBorder="1" applyAlignment="1">
      <alignment horizontal="left" vertical="center"/>
    </xf>
    <xf numFmtId="0" fontId="7" fillId="2" borderId="6" xfId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8" fillId="2" borderId="6" xfId="1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7" fillId="2" borderId="5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8" fillId="0" borderId="6" xfId="1" applyFont="1" applyBorder="1" applyAlignment="1">
      <alignment horizontal="left" vertical="center"/>
    </xf>
    <xf numFmtId="0" fontId="7" fillId="2" borderId="14" xfId="1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/>
    </xf>
    <xf numFmtId="0" fontId="7" fillId="0" borderId="6" xfId="1" applyFont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4" fillId="3" borderId="3" xfId="0" applyFont="1" applyFill="1" applyBorder="1"/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2">
    <cellStyle name="Normal" xfId="0" builtinId="0"/>
    <cellStyle name="ปกติ 2" xfId="1" xr:uid="{25C425C1-4323-4E23-887E-6BE220AFA2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16746</xdr:colOff>
      <xdr:row>89</xdr:row>
      <xdr:rowOff>94203</xdr:rowOff>
    </xdr:from>
    <xdr:to>
      <xdr:col>3</xdr:col>
      <xdr:colOff>263769</xdr:colOff>
      <xdr:row>89</xdr:row>
      <xdr:rowOff>205154</xdr:rowOff>
    </xdr:to>
    <xdr:sp macro="" textlink="">
      <xdr:nvSpPr>
        <xdr:cNvPr id="2" name="สี่เหลี่ยมผืนผ้า 1">
          <a:extLst>
            <a:ext uri="{FF2B5EF4-FFF2-40B4-BE49-F238E27FC236}">
              <a16:creationId xmlns:a16="http://schemas.microsoft.com/office/drawing/2014/main" id="{E6A27907-BBD9-4BF3-B245-53F6D635A79C}"/>
            </a:ext>
          </a:extLst>
        </xdr:cNvPr>
        <xdr:cNvSpPr/>
      </xdr:nvSpPr>
      <xdr:spPr>
        <a:xfrm>
          <a:off x="1693146" y="22525578"/>
          <a:ext cx="247023" cy="110951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34701-84D0-4DE7-A99E-E8082525BCCB}">
  <dimension ref="B1:AA1070"/>
  <sheetViews>
    <sheetView topLeftCell="A3" workbookViewId="0">
      <selection activeCell="J10" sqref="J10"/>
    </sheetView>
  </sheetViews>
  <sheetFormatPr defaultColWidth="12.625" defaultRowHeight="15" x14ac:dyDescent="0.25"/>
  <cols>
    <col min="1" max="1" width="1.375" style="1" customWidth="1"/>
    <col min="2" max="2" width="7.875" style="1" customWidth="1"/>
    <col min="3" max="3" width="12.75" style="1" customWidth="1"/>
    <col min="4" max="4" width="14.75" style="1" customWidth="1"/>
    <col min="5" max="5" width="19.5" style="1" customWidth="1"/>
    <col min="6" max="6" width="27.375" style="1" customWidth="1"/>
    <col min="7" max="7" width="34.375" style="1" hidden="1" customWidth="1"/>
    <col min="8" max="8" width="40" style="1" hidden="1" customWidth="1"/>
    <col min="9" max="9" width="2.125" style="1" customWidth="1"/>
    <col min="10" max="10" width="19.125" style="1" customWidth="1"/>
    <col min="11" max="27" width="7.625" style="1" customWidth="1"/>
    <col min="28" max="16384" width="12.625" style="1"/>
  </cols>
  <sheetData>
    <row r="1" spans="2:27" ht="9.75" customHeight="1" x14ac:dyDescent="0.3">
      <c r="B1" s="79"/>
      <c r="C1" s="80"/>
      <c r="D1" s="80"/>
      <c r="E1" s="80"/>
      <c r="F1" s="80"/>
      <c r="G1" s="80"/>
      <c r="H1" s="80"/>
      <c r="I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20.25" customHeight="1" x14ac:dyDescent="0.3">
      <c r="B2" s="79" t="s">
        <v>110</v>
      </c>
      <c r="C2" s="80"/>
      <c r="D2" s="80"/>
      <c r="E2" s="80"/>
      <c r="F2" s="80"/>
      <c r="G2" s="80"/>
      <c r="H2" s="80"/>
      <c r="I2" s="2"/>
      <c r="J2" s="2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7.5" customHeight="1" x14ac:dyDescent="0.3">
      <c r="B3" s="4"/>
      <c r="C3" s="4"/>
      <c r="D3" s="4"/>
      <c r="F3" s="4"/>
      <c r="G3" s="4"/>
      <c r="H3" s="4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ht="20.25" customHeight="1" x14ac:dyDescent="0.3">
      <c r="B4" s="81" t="s">
        <v>0</v>
      </c>
      <c r="C4" s="81" t="s">
        <v>1</v>
      </c>
      <c r="D4" s="81" t="s">
        <v>2</v>
      </c>
      <c r="E4" s="81" t="s">
        <v>3</v>
      </c>
      <c r="F4" s="34" t="s">
        <v>109</v>
      </c>
      <c r="G4" s="5" t="s">
        <v>4</v>
      </c>
      <c r="H4" s="6" t="s">
        <v>5</v>
      </c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20.25" customHeight="1" x14ac:dyDescent="0.3">
      <c r="B5" s="82"/>
      <c r="C5" s="82"/>
      <c r="D5" s="82"/>
      <c r="E5" s="82"/>
      <c r="F5" s="35" t="s">
        <v>6</v>
      </c>
      <c r="G5" s="9" t="s">
        <v>6</v>
      </c>
      <c r="H5" s="10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20.25" customHeight="1" x14ac:dyDescent="0.3">
      <c r="B6" s="8">
        <f>ROW(A1)</f>
        <v>1</v>
      </c>
      <c r="C6" s="8" t="s">
        <v>7</v>
      </c>
      <c r="D6" s="11" t="s">
        <v>8</v>
      </c>
      <c r="E6" s="12" t="s">
        <v>9</v>
      </c>
      <c r="F6" s="36">
        <v>1</v>
      </c>
      <c r="G6" s="9"/>
      <c r="H6" s="10"/>
      <c r="I6" s="7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20.25" customHeight="1" x14ac:dyDescent="0.3">
      <c r="B7" s="8">
        <f t="shared" ref="B7:B70" si="0">ROW(A2)</f>
        <v>2</v>
      </c>
      <c r="C7" s="8"/>
      <c r="D7" s="11"/>
      <c r="E7" s="13" t="s">
        <v>10</v>
      </c>
      <c r="F7" s="36">
        <v>1</v>
      </c>
      <c r="G7" s="14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20.25" customHeight="1" x14ac:dyDescent="0.3">
      <c r="B8" s="8">
        <f t="shared" si="0"/>
        <v>3</v>
      </c>
      <c r="C8" s="16"/>
      <c r="D8" s="17"/>
      <c r="E8" s="18" t="s">
        <v>11</v>
      </c>
      <c r="F8" s="36">
        <v>1</v>
      </c>
      <c r="G8" s="14"/>
      <c r="H8" s="1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20.25" customHeight="1" x14ac:dyDescent="0.3">
      <c r="B9" s="8">
        <f t="shared" si="0"/>
        <v>4</v>
      </c>
      <c r="C9" s="16"/>
      <c r="D9" s="17"/>
      <c r="E9" s="18" t="s">
        <v>12</v>
      </c>
      <c r="F9" s="36">
        <v>1</v>
      </c>
      <c r="G9" s="14"/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ht="20.25" customHeight="1" x14ac:dyDescent="0.3">
      <c r="B10" s="8">
        <f t="shared" si="0"/>
        <v>5</v>
      </c>
      <c r="C10" s="16"/>
      <c r="D10" s="17"/>
      <c r="E10" s="19" t="s">
        <v>13</v>
      </c>
      <c r="F10" s="36">
        <v>1</v>
      </c>
      <c r="G10" s="14"/>
      <c r="H10" s="1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ht="20.25" customHeight="1" x14ac:dyDescent="0.3">
      <c r="B11" s="8">
        <f t="shared" si="0"/>
        <v>6</v>
      </c>
      <c r="C11" s="16"/>
      <c r="D11" s="17"/>
      <c r="E11" s="19" t="s">
        <v>14</v>
      </c>
      <c r="F11" s="36">
        <v>1</v>
      </c>
      <c r="G11" s="14"/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ht="20.25" customHeight="1" x14ac:dyDescent="0.3">
      <c r="B12" s="8">
        <f t="shared" si="0"/>
        <v>7</v>
      </c>
      <c r="C12" s="16"/>
      <c r="D12" s="17"/>
      <c r="E12" s="19" t="s">
        <v>15</v>
      </c>
      <c r="F12" s="36">
        <v>1</v>
      </c>
      <c r="G12" s="14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20.25" customHeight="1" x14ac:dyDescent="0.3">
      <c r="B13" s="8">
        <f t="shared" si="0"/>
        <v>8</v>
      </c>
      <c r="C13" s="16"/>
      <c r="D13" s="17"/>
      <c r="E13" s="18" t="s">
        <v>16</v>
      </c>
      <c r="F13" s="36">
        <v>1</v>
      </c>
      <c r="G13" s="14"/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ht="20.25" customHeight="1" x14ac:dyDescent="0.3">
      <c r="B14" s="8">
        <f t="shared" si="0"/>
        <v>9</v>
      </c>
      <c r="C14" s="16"/>
      <c r="D14" s="17"/>
      <c r="E14" s="18" t="s">
        <v>17</v>
      </c>
      <c r="F14" s="36">
        <v>1</v>
      </c>
      <c r="G14" s="14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ht="20.25" customHeight="1" x14ac:dyDescent="0.3">
      <c r="B15" s="8">
        <f t="shared" si="0"/>
        <v>10</v>
      </c>
      <c r="C15" s="16"/>
      <c r="D15" s="17"/>
      <c r="E15" s="18" t="s">
        <v>18</v>
      </c>
      <c r="F15" s="36">
        <v>1</v>
      </c>
      <c r="G15" s="14" t="s">
        <v>19</v>
      </c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t="20.25" customHeight="1" x14ac:dyDescent="0.3">
      <c r="B16" s="8">
        <f t="shared" si="0"/>
        <v>11</v>
      </c>
      <c r="C16" s="16"/>
      <c r="D16" s="17"/>
      <c r="E16" s="18" t="s">
        <v>20</v>
      </c>
      <c r="F16" s="36">
        <v>1</v>
      </c>
      <c r="G16" s="14"/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20.25" customHeight="1" x14ac:dyDescent="0.3">
      <c r="B17" s="8">
        <f t="shared" si="0"/>
        <v>12</v>
      </c>
      <c r="C17" s="16"/>
      <c r="D17" s="17"/>
      <c r="E17" s="18" t="s">
        <v>21</v>
      </c>
      <c r="F17" s="36">
        <v>1</v>
      </c>
      <c r="G17" s="14"/>
      <c r="H17" s="15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20.25" customHeight="1" x14ac:dyDescent="0.3">
      <c r="B18" s="8">
        <f t="shared" si="0"/>
        <v>13</v>
      </c>
      <c r="C18" s="20"/>
      <c r="D18" s="21"/>
      <c r="E18" s="18" t="s">
        <v>22</v>
      </c>
      <c r="F18" s="36">
        <v>1</v>
      </c>
      <c r="G18" s="22"/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20.25" customHeight="1" x14ac:dyDescent="0.3">
      <c r="B19" s="8">
        <f t="shared" si="0"/>
        <v>14</v>
      </c>
      <c r="C19" s="20"/>
      <c r="D19" s="21"/>
      <c r="E19" s="18" t="s">
        <v>23</v>
      </c>
      <c r="F19" s="36">
        <v>1</v>
      </c>
      <c r="G19" s="22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20.25" customHeight="1" x14ac:dyDescent="0.3">
      <c r="B20" s="8">
        <f t="shared" si="0"/>
        <v>15</v>
      </c>
      <c r="C20" s="22"/>
      <c r="D20" s="24"/>
      <c r="E20" s="18" t="s">
        <v>24</v>
      </c>
      <c r="F20" s="36">
        <v>1</v>
      </c>
      <c r="G20" s="22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20.25" customHeight="1" x14ac:dyDescent="0.3">
      <c r="B21" s="8">
        <f t="shared" si="0"/>
        <v>16</v>
      </c>
      <c r="C21" s="22"/>
      <c r="D21" s="26" t="s">
        <v>25</v>
      </c>
      <c r="E21" s="18" t="s">
        <v>26</v>
      </c>
      <c r="F21" s="36">
        <v>1</v>
      </c>
      <c r="G21" s="22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20.25" customHeight="1" x14ac:dyDescent="0.3">
      <c r="B22" s="8">
        <f t="shared" si="0"/>
        <v>17</v>
      </c>
      <c r="C22" s="22"/>
      <c r="D22" s="28"/>
      <c r="E22" s="18" t="s">
        <v>27</v>
      </c>
      <c r="F22" s="36">
        <v>1</v>
      </c>
      <c r="G22" s="22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20.25" customHeight="1" x14ac:dyDescent="0.3">
      <c r="B23" s="8">
        <f t="shared" si="0"/>
        <v>18</v>
      </c>
      <c r="C23" s="22"/>
      <c r="D23" s="28"/>
      <c r="E23" s="18" t="s">
        <v>28</v>
      </c>
      <c r="F23" s="36">
        <v>1</v>
      </c>
      <c r="G23" s="22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20.25" customHeight="1" x14ac:dyDescent="0.3">
      <c r="B24" s="8">
        <f t="shared" si="0"/>
        <v>19</v>
      </c>
      <c r="C24" s="22"/>
      <c r="D24" s="28"/>
      <c r="E24" s="18" t="s">
        <v>29</v>
      </c>
      <c r="F24" s="36">
        <v>1</v>
      </c>
      <c r="G24" s="22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20.25" customHeight="1" x14ac:dyDescent="0.3">
      <c r="B25" s="8">
        <f t="shared" si="0"/>
        <v>20</v>
      </c>
      <c r="C25" s="22"/>
      <c r="D25" s="28"/>
      <c r="E25" s="18" t="s">
        <v>30</v>
      </c>
      <c r="F25" s="36">
        <v>1</v>
      </c>
      <c r="G25" s="22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20.25" customHeight="1" x14ac:dyDescent="0.3">
      <c r="B26" s="8">
        <f t="shared" si="0"/>
        <v>21</v>
      </c>
      <c r="C26" s="22"/>
      <c r="D26" s="28"/>
      <c r="E26" s="18" t="s">
        <v>31</v>
      </c>
      <c r="F26" s="36">
        <v>1</v>
      </c>
      <c r="G26" s="22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20.25" customHeight="1" x14ac:dyDescent="0.3">
      <c r="B27" s="8">
        <f t="shared" si="0"/>
        <v>22</v>
      </c>
      <c r="C27" s="22"/>
      <c r="D27" s="28"/>
      <c r="E27" s="18" t="s">
        <v>32</v>
      </c>
      <c r="F27" s="36">
        <v>1</v>
      </c>
      <c r="G27" s="22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20.25" customHeight="1" x14ac:dyDescent="0.3">
      <c r="B28" s="8">
        <f t="shared" si="0"/>
        <v>23</v>
      </c>
      <c r="C28" s="22"/>
      <c r="D28" s="28"/>
      <c r="E28" s="18" t="s">
        <v>33</v>
      </c>
      <c r="F28" s="36">
        <v>1</v>
      </c>
      <c r="G28" s="22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20.25" customHeight="1" x14ac:dyDescent="0.3">
      <c r="B29" s="8">
        <f t="shared" si="0"/>
        <v>24</v>
      </c>
      <c r="C29" s="22"/>
      <c r="D29" s="28"/>
      <c r="E29" s="18" t="s">
        <v>34</v>
      </c>
      <c r="F29" s="36">
        <v>1</v>
      </c>
      <c r="G29" s="22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20.25" customHeight="1" x14ac:dyDescent="0.3">
      <c r="B30" s="8">
        <f t="shared" si="0"/>
        <v>25</v>
      </c>
      <c r="C30" s="22"/>
      <c r="D30" s="28"/>
      <c r="E30" s="18" t="s">
        <v>35</v>
      </c>
      <c r="F30" s="36">
        <v>1</v>
      </c>
      <c r="G30" s="22"/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20.25" customHeight="1" x14ac:dyDescent="0.3">
      <c r="B31" s="8">
        <f t="shared" si="0"/>
        <v>26</v>
      </c>
      <c r="C31" s="22"/>
      <c r="D31" s="28"/>
      <c r="E31" s="18" t="s">
        <v>36</v>
      </c>
      <c r="F31" s="36">
        <v>1</v>
      </c>
      <c r="G31" s="22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20.25" customHeight="1" x14ac:dyDescent="0.3">
      <c r="B32" s="8">
        <f t="shared" si="0"/>
        <v>27</v>
      </c>
      <c r="C32" s="22"/>
      <c r="D32" s="28"/>
      <c r="E32" s="18" t="s">
        <v>37</v>
      </c>
      <c r="F32" s="36">
        <v>1</v>
      </c>
      <c r="G32" s="22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20.25" customHeight="1" x14ac:dyDescent="0.3">
      <c r="B33" s="8">
        <f t="shared" si="0"/>
        <v>28</v>
      </c>
      <c r="C33" s="22"/>
      <c r="D33" s="26" t="s">
        <v>38</v>
      </c>
      <c r="E33" s="18" t="s">
        <v>39</v>
      </c>
      <c r="F33" s="36">
        <v>1</v>
      </c>
      <c r="G33" s="22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20.25" customHeight="1" x14ac:dyDescent="0.3">
      <c r="B34" s="8">
        <f t="shared" si="0"/>
        <v>29</v>
      </c>
      <c r="C34" s="22"/>
      <c r="D34" s="28"/>
      <c r="E34" s="18" t="s">
        <v>40</v>
      </c>
      <c r="F34" s="36">
        <v>1</v>
      </c>
      <c r="G34" s="22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20.25" customHeight="1" x14ac:dyDescent="0.3">
      <c r="B35" s="8">
        <f t="shared" si="0"/>
        <v>30</v>
      </c>
      <c r="C35" s="22"/>
      <c r="D35" s="28"/>
      <c r="E35" s="18" t="s">
        <v>41</v>
      </c>
      <c r="F35" s="36">
        <v>1</v>
      </c>
      <c r="G35" s="22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20.25" customHeight="1" x14ac:dyDescent="0.3">
      <c r="B36" s="8">
        <f t="shared" si="0"/>
        <v>31</v>
      </c>
      <c r="C36" s="22"/>
      <c r="D36" s="28"/>
      <c r="E36" s="18" t="s">
        <v>42</v>
      </c>
      <c r="F36" s="36">
        <v>1</v>
      </c>
      <c r="G36" s="22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20.25" customHeight="1" x14ac:dyDescent="0.3">
      <c r="B37" s="8">
        <f t="shared" si="0"/>
        <v>32</v>
      </c>
      <c r="C37" s="22"/>
      <c r="D37" s="28"/>
      <c r="E37" s="18" t="s">
        <v>43</v>
      </c>
      <c r="F37" s="36">
        <v>1</v>
      </c>
      <c r="G37" s="22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20.25" customHeight="1" x14ac:dyDescent="0.3">
      <c r="B38" s="8">
        <f t="shared" si="0"/>
        <v>33</v>
      </c>
      <c r="C38" s="22"/>
      <c r="D38" s="28"/>
      <c r="E38" s="18" t="s">
        <v>44</v>
      </c>
      <c r="F38" s="36">
        <v>1</v>
      </c>
      <c r="G38" s="22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20.25" customHeight="1" x14ac:dyDescent="0.3">
      <c r="B39" s="8">
        <f t="shared" si="0"/>
        <v>34</v>
      </c>
      <c r="C39" s="22"/>
      <c r="D39" s="28"/>
      <c r="E39" s="18" t="s">
        <v>45</v>
      </c>
      <c r="F39" s="36">
        <v>1</v>
      </c>
      <c r="G39" s="22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20.25" customHeight="1" x14ac:dyDescent="0.3">
      <c r="B40" s="8">
        <f t="shared" si="0"/>
        <v>35</v>
      </c>
      <c r="C40" s="22"/>
      <c r="D40" s="28"/>
      <c r="E40" s="18" t="s">
        <v>46</v>
      </c>
      <c r="F40" s="36">
        <v>1</v>
      </c>
      <c r="G40" s="22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20.25" customHeight="1" x14ac:dyDescent="0.3">
      <c r="B41" s="8">
        <f t="shared" si="0"/>
        <v>36</v>
      </c>
      <c r="C41" s="22"/>
      <c r="D41" s="28"/>
      <c r="E41" s="18" t="s">
        <v>47</v>
      </c>
      <c r="F41" s="36">
        <v>1</v>
      </c>
      <c r="G41" s="22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20.25" customHeight="1" x14ac:dyDescent="0.3">
      <c r="B42" s="8">
        <f t="shared" si="0"/>
        <v>37</v>
      </c>
      <c r="C42" s="22"/>
      <c r="D42" s="28"/>
      <c r="E42" s="18" t="s">
        <v>48</v>
      </c>
      <c r="F42" s="36">
        <v>1</v>
      </c>
      <c r="G42" s="22"/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20.25" customHeight="1" x14ac:dyDescent="0.3">
      <c r="B43" s="8">
        <f t="shared" si="0"/>
        <v>38</v>
      </c>
      <c r="C43" s="22"/>
      <c r="D43" s="28"/>
      <c r="E43" s="18" t="s">
        <v>49</v>
      </c>
      <c r="F43" s="36">
        <v>1</v>
      </c>
      <c r="G43" s="22"/>
      <c r="H43" s="2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20.25" customHeight="1" x14ac:dyDescent="0.3">
      <c r="B44" s="8">
        <f t="shared" si="0"/>
        <v>39</v>
      </c>
      <c r="C44" s="22"/>
      <c r="D44" s="28"/>
      <c r="E44" s="18" t="s">
        <v>50</v>
      </c>
      <c r="F44" s="36">
        <v>1</v>
      </c>
      <c r="G44" s="22"/>
      <c r="H44" s="2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20.25" customHeight="1" x14ac:dyDescent="0.3">
      <c r="B45" s="8">
        <f t="shared" si="0"/>
        <v>40</v>
      </c>
      <c r="C45" s="22"/>
      <c r="D45" s="22"/>
      <c r="E45" s="18" t="s">
        <v>51</v>
      </c>
      <c r="F45" s="36">
        <v>1</v>
      </c>
      <c r="G45" s="22"/>
      <c r="H45" s="2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20.25" customHeight="1" x14ac:dyDescent="0.3">
      <c r="B46" s="8">
        <f t="shared" si="0"/>
        <v>41</v>
      </c>
      <c r="C46" s="22"/>
      <c r="D46" s="37" t="s">
        <v>52</v>
      </c>
      <c r="E46" s="18" t="s">
        <v>53</v>
      </c>
      <c r="F46" s="27">
        <v>1</v>
      </c>
      <c r="G46" s="22"/>
      <c r="H46" s="2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20.25" customHeight="1" x14ac:dyDescent="0.3">
      <c r="B47" s="8">
        <f t="shared" si="0"/>
        <v>42</v>
      </c>
      <c r="C47" s="22"/>
      <c r="D47" s="20"/>
      <c r="E47" s="18" t="s">
        <v>54</v>
      </c>
      <c r="F47" s="27">
        <v>1</v>
      </c>
      <c r="G47" s="22"/>
      <c r="H47" s="2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20.25" customHeight="1" x14ac:dyDescent="0.3">
      <c r="B48" s="8">
        <f t="shared" si="0"/>
        <v>43</v>
      </c>
      <c r="C48" s="22"/>
      <c r="D48" s="20"/>
      <c r="E48" s="18" t="s">
        <v>55</v>
      </c>
      <c r="F48" s="27">
        <v>1</v>
      </c>
      <c r="G48" s="22"/>
      <c r="H48" s="2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20.25" customHeight="1" x14ac:dyDescent="0.3">
      <c r="B49" s="8">
        <f t="shared" si="0"/>
        <v>44</v>
      </c>
      <c r="C49" s="22"/>
      <c r="D49" s="20"/>
      <c r="E49" s="18" t="s">
        <v>56</v>
      </c>
      <c r="F49" s="27">
        <v>1</v>
      </c>
      <c r="G49" s="22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20.25" customHeight="1" x14ac:dyDescent="0.3">
      <c r="B50" s="8">
        <f t="shared" si="0"/>
        <v>45</v>
      </c>
      <c r="C50" s="22"/>
      <c r="D50" s="20"/>
      <c r="E50" s="18" t="s">
        <v>57</v>
      </c>
      <c r="F50" s="27">
        <v>1</v>
      </c>
      <c r="G50" s="22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20.25" customHeight="1" x14ac:dyDescent="0.3">
      <c r="B51" s="8">
        <f t="shared" si="0"/>
        <v>46</v>
      </c>
      <c r="C51" s="22"/>
      <c r="D51" s="20"/>
      <c r="E51" s="18" t="s">
        <v>58</v>
      </c>
      <c r="F51" s="27">
        <v>1</v>
      </c>
      <c r="G51" s="22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20.25" customHeight="1" x14ac:dyDescent="0.3">
      <c r="B52" s="8">
        <f t="shared" si="0"/>
        <v>47</v>
      </c>
      <c r="C52" s="22"/>
      <c r="D52" s="37" t="s">
        <v>59</v>
      </c>
      <c r="E52" s="18" t="s">
        <v>60</v>
      </c>
      <c r="F52" s="27">
        <v>1</v>
      </c>
      <c r="G52" s="22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20.25" customHeight="1" x14ac:dyDescent="0.3">
      <c r="B53" s="8">
        <f t="shared" si="0"/>
        <v>48</v>
      </c>
      <c r="C53" s="22"/>
      <c r="D53" s="20"/>
      <c r="E53" s="18" t="s">
        <v>61</v>
      </c>
      <c r="F53" s="27">
        <v>1</v>
      </c>
      <c r="G53" s="22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20.25" customHeight="1" x14ac:dyDescent="0.3">
      <c r="B54" s="8">
        <f t="shared" si="0"/>
        <v>49</v>
      </c>
      <c r="C54" s="22"/>
      <c r="D54" s="20"/>
      <c r="E54" s="18" t="s">
        <v>62</v>
      </c>
      <c r="F54" s="27">
        <v>1</v>
      </c>
      <c r="G54" s="22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20.25" customHeight="1" x14ac:dyDescent="0.3">
      <c r="B55" s="8">
        <f t="shared" si="0"/>
        <v>50</v>
      </c>
      <c r="C55" s="22"/>
      <c r="D55" s="20"/>
      <c r="E55" s="18" t="s">
        <v>63</v>
      </c>
      <c r="F55" s="27">
        <v>1</v>
      </c>
      <c r="G55" s="22"/>
      <c r="H55" s="23"/>
      <c r="I55" s="3"/>
      <c r="J55" s="33"/>
      <c r="K55" s="33"/>
      <c r="L55" s="3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20.25" customHeight="1" x14ac:dyDescent="0.3">
      <c r="B56" s="8">
        <f t="shared" si="0"/>
        <v>51</v>
      </c>
      <c r="C56" s="22"/>
      <c r="D56" s="20"/>
      <c r="E56" s="18" t="s">
        <v>64</v>
      </c>
      <c r="F56" s="27">
        <v>1</v>
      </c>
      <c r="G56" s="22"/>
      <c r="H56" s="2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20.25" customHeight="1" x14ac:dyDescent="0.3">
      <c r="B57" s="8">
        <f t="shared" si="0"/>
        <v>52</v>
      </c>
      <c r="C57" s="22"/>
      <c r="D57" s="20"/>
      <c r="E57" s="18" t="s">
        <v>65</v>
      </c>
      <c r="F57" s="27">
        <v>1</v>
      </c>
      <c r="G57" s="22"/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25" customHeight="1" x14ac:dyDescent="0.3">
      <c r="B58" s="8">
        <f t="shared" si="0"/>
        <v>53</v>
      </c>
      <c r="C58" s="22"/>
      <c r="D58" s="20"/>
      <c r="E58" s="18" t="s">
        <v>66</v>
      </c>
      <c r="F58" s="27">
        <v>1</v>
      </c>
      <c r="G58" s="22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25" customHeight="1" x14ac:dyDescent="0.3">
      <c r="B59" s="8">
        <f t="shared" si="0"/>
        <v>54</v>
      </c>
      <c r="C59" s="22"/>
      <c r="D59" s="26" t="s">
        <v>67</v>
      </c>
      <c r="E59" s="18" t="s">
        <v>68</v>
      </c>
      <c r="F59" s="27"/>
      <c r="G59" s="22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25" customHeight="1" x14ac:dyDescent="0.3">
      <c r="B60" s="8">
        <f t="shared" si="0"/>
        <v>55</v>
      </c>
      <c r="C60" s="22"/>
      <c r="D60" s="20"/>
      <c r="E60" s="18" t="s">
        <v>69</v>
      </c>
      <c r="F60" s="27"/>
      <c r="G60" s="22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25" customHeight="1" x14ac:dyDescent="0.3">
      <c r="B61" s="8">
        <f t="shared" si="0"/>
        <v>56</v>
      </c>
      <c r="C61" s="22"/>
      <c r="D61" s="20"/>
      <c r="E61" s="18" t="s">
        <v>70</v>
      </c>
      <c r="F61" s="27"/>
      <c r="G61" s="22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25" customHeight="1" x14ac:dyDescent="0.3">
      <c r="B62" s="8">
        <f t="shared" si="0"/>
        <v>57</v>
      </c>
      <c r="C62" s="22"/>
      <c r="D62" s="20"/>
      <c r="E62" s="18" t="s">
        <v>71</v>
      </c>
      <c r="F62" s="27"/>
      <c r="G62" s="22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25" customHeight="1" x14ac:dyDescent="0.3">
      <c r="B63" s="8">
        <f t="shared" si="0"/>
        <v>58</v>
      </c>
      <c r="C63" s="22"/>
      <c r="D63" s="20"/>
      <c r="E63" s="18" t="s">
        <v>72</v>
      </c>
      <c r="F63" s="27"/>
      <c r="G63" s="22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20.25" customHeight="1" x14ac:dyDescent="0.3">
      <c r="B64" s="8">
        <f t="shared" si="0"/>
        <v>59</v>
      </c>
      <c r="C64" s="22"/>
      <c r="D64" s="37" t="s">
        <v>73</v>
      </c>
      <c r="E64" s="18" t="s">
        <v>74</v>
      </c>
      <c r="F64" s="27">
        <v>1</v>
      </c>
      <c r="G64" s="22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0.25" customHeight="1" x14ac:dyDescent="0.3">
      <c r="B65" s="8">
        <f t="shared" si="0"/>
        <v>60</v>
      </c>
      <c r="C65" s="22"/>
      <c r="D65" s="20"/>
      <c r="E65" s="18" t="s">
        <v>75</v>
      </c>
      <c r="F65" s="27">
        <v>1</v>
      </c>
      <c r="G65" s="22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20.25" customHeight="1" x14ac:dyDescent="0.3">
      <c r="B66" s="8">
        <f t="shared" si="0"/>
        <v>61</v>
      </c>
      <c r="C66" s="22"/>
      <c r="D66" s="20"/>
      <c r="E66" s="18" t="s">
        <v>76</v>
      </c>
      <c r="F66" s="27">
        <v>1</v>
      </c>
      <c r="G66" s="22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20.25" customHeight="1" x14ac:dyDescent="0.3">
      <c r="B67" s="8">
        <f t="shared" si="0"/>
        <v>62</v>
      </c>
      <c r="C67" s="22"/>
      <c r="D67" s="20"/>
      <c r="E67" s="18" t="s">
        <v>77</v>
      </c>
      <c r="F67" s="27">
        <v>1</v>
      </c>
      <c r="G67" s="22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20.25" customHeight="1" x14ac:dyDescent="0.3">
      <c r="B68" s="8">
        <f t="shared" si="0"/>
        <v>63</v>
      </c>
      <c r="C68" s="22"/>
      <c r="D68" s="20"/>
      <c r="E68" s="18" t="s">
        <v>78</v>
      </c>
      <c r="F68" s="27">
        <v>1</v>
      </c>
      <c r="G68" s="22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20.25" customHeight="1" x14ac:dyDescent="0.3">
      <c r="B69" s="8">
        <f t="shared" si="0"/>
        <v>64</v>
      </c>
      <c r="C69" s="22"/>
      <c r="D69" s="20"/>
      <c r="E69" s="18" t="s">
        <v>79</v>
      </c>
      <c r="F69" s="27">
        <v>1</v>
      </c>
      <c r="G69" s="22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20.25" customHeight="1" x14ac:dyDescent="0.3">
      <c r="B70" s="8">
        <f t="shared" si="0"/>
        <v>65</v>
      </c>
      <c r="C70" s="22"/>
      <c r="D70" s="26" t="s">
        <v>80</v>
      </c>
      <c r="E70" s="18" t="s">
        <v>81</v>
      </c>
      <c r="F70" s="27"/>
      <c r="G70" s="22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20.25" customHeight="1" x14ac:dyDescent="0.3">
      <c r="B71" s="8">
        <f t="shared" ref="B71:B87" si="1">ROW(A66)</f>
        <v>66</v>
      </c>
      <c r="C71" s="22"/>
      <c r="D71" s="20"/>
      <c r="E71" s="18" t="s">
        <v>82</v>
      </c>
      <c r="F71" s="27"/>
      <c r="G71" s="22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20.25" customHeight="1" x14ac:dyDescent="0.3">
      <c r="B72" s="8">
        <f t="shared" si="1"/>
        <v>67</v>
      </c>
      <c r="C72" s="22"/>
      <c r="D72" s="20"/>
      <c r="E72" s="18" t="s">
        <v>83</v>
      </c>
      <c r="F72" s="27"/>
      <c r="G72" s="22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20.25" customHeight="1" x14ac:dyDescent="0.3">
      <c r="B73" s="8">
        <f t="shared" si="1"/>
        <v>68</v>
      </c>
      <c r="C73" s="22"/>
      <c r="D73" s="20"/>
      <c r="E73" s="18" t="s">
        <v>84</v>
      </c>
      <c r="F73" s="27"/>
      <c r="G73" s="22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20.25" customHeight="1" x14ac:dyDescent="0.3">
      <c r="B74" s="8">
        <f t="shared" si="1"/>
        <v>69</v>
      </c>
      <c r="C74" s="22"/>
      <c r="D74" s="20"/>
      <c r="E74" s="18" t="s">
        <v>85</v>
      </c>
      <c r="F74" s="27"/>
      <c r="G74" s="22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20.25" customHeight="1" x14ac:dyDescent="0.3">
      <c r="B75" s="8">
        <f t="shared" si="1"/>
        <v>70</v>
      </c>
      <c r="C75" s="22"/>
      <c r="D75" s="37" t="s">
        <v>86</v>
      </c>
      <c r="E75" s="18" t="s">
        <v>87</v>
      </c>
      <c r="F75" s="25">
        <v>1</v>
      </c>
      <c r="G75" s="22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20.25" customHeight="1" x14ac:dyDescent="0.3">
      <c r="B76" s="8">
        <f t="shared" si="1"/>
        <v>71</v>
      </c>
      <c r="C76" s="20"/>
      <c r="D76" s="26"/>
      <c r="E76" s="18" t="s">
        <v>88</v>
      </c>
      <c r="F76" s="25">
        <v>1</v>
      </c>
      <c r="G76" s="22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20.25" customHeight="1" x14ac:dyDescent="0.3">
      <c r="B77" s="8">
        <f t="shared" si="1"/>
        <v>72</v>
      </c>
      <c r="C77" s="20"/>
      <c r="D77" s="26"/>
      <c r="E77" s="18" t="s">
        <v>89</v>
      </c>
      <c r="F77" s="25">
        <v>1</v>
      </c>
      <c r="G77" s="22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20.25" customHeight="1" x14ac:dyDescent="0.3">
      <c r="B78" s="8">
        <f t="shared" si="1"/>
        <v>73</v>
      </c>
      <c r="C78" s="20"/>
      <c r="D78" s="26"/>
      <c r="E78" s="18" t="s">
        <v>90</v>
      </c>
      <c r="F78" s="25">
        <v>1</v>
      </c>
      <c r="G78" s="22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20.25" customHeight="1" x14ac:dyDescent="0.3">
      <c r="B79" s="8">
        <f t="shared" si="1"/>
        <v>74</v>
      </c>
      <c r="C79" s="20"/>
      <c r="D79" s="26"/>
      <c r="E79" s="18" t="s">
        <v>91</v>
      </c>
      <c r="F79" s="25">
        <v>1</v>
      </c>
      <c r="G79" s="22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20.25" customHeight="1" x14ac:dyDescent="0.3">
      <c r="B80" s="8">
        <f t="shared" si="1"/>
        <v>75</v>
      </c>
      <c r="C80" s="20"/>
      <c r="D80" s="26"/>
      <c r="E80" s="18" t="s">
        <v>92</v>
      </c>
      <c r="F80" s="25">
        <v>1</v>
      </c>
      <c r="G80" s="22"/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20.25" customHeight="1" x14ac:dyDescent="0.3">
      <c r="B81" s="8">
        <f t="shared" si="1"/>
        <v>76</v>
      </c>
      <c r="C81" s="20"/>
      <c r="D81" s="26"/>
      <c r="E81" s="18" t="s">
        <v>93</v>
      </c>
      <c r="F81" s="25">
        <v>1</v>
      </c>
      <c r="G81" s="22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20.25" customHeight="1" x14ac:dyDescent="0.3">
      <c r="B82" s="8">
        <f t="shared" si="1"/>
        <v>77</v>
      </c>
      <c r="C82" s="20"/>
      <c r="D82" s="29" t="s">
        <v>94</v>
      </c>
      <c r="E82" s="18" t="s">
        <v>95</v>
      </c>
      <c r="F82" s="27"/>
      <c r="G82" s="22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20.25" customHeight="1" x14ac:dyDescent="0.3">
      <c r="B83" s="8">
        <f t="shared" si="1"/>
        <v>78</v>
      </c>
      <c r="C83" s="20"/>
      <c r="D83" s="26"/>
      <c r="E83" s="18" t="s">
        <v>96</v>
      </c>
      <c r="F83" s="27"/>
      <c r="G83" s="22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20.25" customHeight="1" x14ac:dyDescent="0.3">
      <c r="B84" s="8">
        <f t="shared" si="1"/>
        <v>79</v>
      </c>
      <c r="C84" s="20"/>
      <c r="D84" s="26"/>
      <c r="E84" s="18" t="s">
        <v>97</v>
      </c>
      <c r="F84" s="27"/>
      <c r="G84" s="22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20.25" customHeight="1" x14ac:dyDescent="0.3">
      <c r="B85" s="8">
        <f t="shared" si="1"/>
        <v>80</v>
      </c>
      <c r="C85" s="22"/>
      <c r="D85" s="24"/>
      <c r="E85" s="18" t="s">
        <v>98</v>
      </c>
      <c r="F85" s="25"/>
      <c r="G85" s="22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20.25" customHeight="1" x14ac:dyDescent="0.3">
      <c r="B86" s="8">
        <f t="shared" si="1"/>
        <v>81</v>
      </c>
      <c r="C86" s="22"/>
      <c r="D86" s="24"/>
      <c r="E86" s="18" t="s">
        <v>99</v>
      </c>
      <c r="F86" s="25"/>
      <c r="G86" s="22"/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20.25" customHeight="1" x14ac:dyDescent="0.3">
      <c r="B87" s="8">
        <f t="shared" si="1"/>
        <v>82</v>
      </c>
      <c r="C87" s="22"/>
      <c r="D87" s="24"/>
      <c r="E87" s="18" t="s">
        <v>100</v>
      </c>
      <c r="F87" s="25"/>
      <c r="G87" s="22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20.25" customHeight="1" x14ac:dyDescent="0.3">
      <c r="B88" s="75" t="s">
        <v>101</v>
      </c>
      <c r="C88" s="76"/>
      <c r="D88" s="76"/>
      <c r="E88" s="77"/>
      <c r="F88" s="25">
        <f>SUM(F6:F87)</f>
        <v>66</v>
      </c>
      <c r="G88" s="25">
        <f>SUM(G7:G87)</f>
        <v>0</v>
      </c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7.5" customHeight="1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20.25" customHeight="1" x14ac:dyDescent="0.3">
      <c r="B90" s="3"/>
      <c r="C90" s="30" t="s">
        <v>102</v>
      </c>
      <c r="D90" s="3" t="s">
        <v>108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18.75" customHeight="1" x14ac:dyDescent="0.3">
      <c r="B91" s="3"/>
      <c r="F91" s="3"/>
      <c r="G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9.5" customHeight="1" x14ac:dyDescent="0.3">
      <c r="B92" s="3"/>
      <c r="F92" s="3"/>
      <c r="G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21" customHeight="1" x14ac:dyDescent="0.3">
      <c r="B93" s="3"/>
      <c r="F93" s="3"/>
      <c r="G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20.25" customHeight="1" x14ac:dyDescent="0.3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20.25" customHeight="1" x14ac:dyDescent="0.3">
      <c r="B95" s="3"/>
      <c r="C95" s="31"/>
      <c r="D95" s="32" t="s">
        <v>103</v>
      </c>
      <c r="E95" s="31" t="s">
        <v>104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20.25" customHeight="1" x14ac:dyDescent="0.3">
      <c r="B96" s="3"/>
      <c r="C96" s="3" t="s">
        <v>105</v>
      </c>
      <c r="D96" s="78"/>
      <c r="E96" s="78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20.25" customHeight="1" x14ac:dyDescent="0.3">
      <c r="B97" s="3"/>
      <c r="C97" s="31" t="s">
        <v>106</v>
      </c>
      <c r="D97" s="78" t="s">
        <v>107</v>
      </c>
      <c r="E97" s="7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20.25" customHeight="1" x14ac:dyDescent="0.3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20.25" customHeight="1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20.25" customHeight="1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20.25" customHeight="1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20.25" customHeight="1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20.25" customHeight="1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20.25" customHeight="1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20.25" customHeight="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20.25" customHeight="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20.25" customHeight="1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20.25" customHeight="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20.25" customHeight="1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20.25" customHeigh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20.25" customHeigh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20.25" customHeight="1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20.25" customHeight="1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20.25" customHeight="1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20.25" customHeight="1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20.25" customHeight="1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20.25" customHeight="1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20.25" customHeight="1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20.25" customHeight="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20.25" customHeight="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20.25" customHeight="1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20.25" customHeigh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20.25" customHeight="1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20.25" customHeight="1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0.25" customHeight="1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20.25" customHeight="1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20.25" customHeight="1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20.25" customHeight="1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20.25" customHeight="1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20.25" customHeight="1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20.25" customHeight="1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20.25" customHeight="1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20.25" customHeight="1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20.25" customHeight="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20.25" customHeight="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20.25" customHeight="1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20.25" customHeight="1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20.25" customHeight="1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20.25" customHeight="1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20.25" customHeight="1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20.25" customHeigh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20.25" customHeigh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20.25" customHeight="1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20.25" customHeight="1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20.25" customHeight="1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20.25" customHeight="1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20.25" customHeight="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20.25" customHeight="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20.25" customHeight="1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20.25" customHeight="1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20.25" customHeight="1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20.25" customHeight="1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20.25" customHeigh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20.25" customHeigh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20.25" customHeigh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20.25" customHeight="1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20.25" customHeigh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20.25" customHeigh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20.25" customHeigh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20.25" customHeigh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20.25" customHeigh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20.25" customHeigh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20.25" customHeigh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20.25" customHeigh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20.25" customHeigh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20.25" customHeigh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20.25" customHeigh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20.25" customHeigh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20.25" customHeigh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20.25" customHeigh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20.25" customHeigh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20.25" customHeigh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20.25" customHeigh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20.25" customHeigh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20.25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20.25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20.25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20.25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20.25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20.25" customHeigh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20.25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20.25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20.25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20.25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20.25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20.25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20.25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20.25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20.25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20.25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20.25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20.25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20.25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20.25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20.25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20.25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20.25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20.25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20.25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20.25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20.25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20.25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20.25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20.25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20.25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20.25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20.25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20.25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20.25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20.25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20.25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20.25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20.25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20.25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20.25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20.25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20.25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20.25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20.25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20.25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20.25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20.25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20.25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20.25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20.25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20.25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20.25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20.25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20.25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20.25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20.25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20.25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20.25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20.25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20.25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20.25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20.25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20.25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20.25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20.25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20.25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20.25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20.25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20.25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20.25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20.25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20.25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20.25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20.25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20.25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20.25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20.25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20.25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20.25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20.25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20.25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20.25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20.25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20.25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20.25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20.25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20.25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20.25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20.25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20.25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20.25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20.25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20.25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20.25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20.25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20.25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20.25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20.25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20.25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20.25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20.25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20.25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20.25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20.25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20.25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20.25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20.25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20.25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20.25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20.25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20.25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20.25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20.25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20.25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20.25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20.25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20.25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20.25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20.25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20.25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20.25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20.25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20.25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20.25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20.25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20.25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20.25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20.25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20.25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20.25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20.25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20.25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20.25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20.25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20.25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20.25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20.25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20.25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20.25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20.25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20.25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20.25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20.25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20.25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20.25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20.25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20.25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20.25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20.25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20.25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20.25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20.25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20.25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20.25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20.25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20.25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20.25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20.25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20.25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20.25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20.25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20.25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20.25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20.25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20.25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20.25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20.25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20.25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20.25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20.25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20.25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20.25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20.25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20.25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20.25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20.25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20.25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20.25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20.25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20.25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20.25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20.25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20.25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20.25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20.25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20.25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20.25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20.25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20.25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20.25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20.25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20.25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20.25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20.25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20.25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20.25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20.25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20.25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20.25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20.25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20.25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20.25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20.25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20.25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20.25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20.25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20.25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20.25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20.25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20.25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20.25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20.25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20.25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20.25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20.25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20.25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20.25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20.25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20.25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20.25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20.25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20.25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20.25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20.25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20.25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20.25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20.25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20.25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20.25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20.25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20.25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20.25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20.25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20.25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20.25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20.25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20.25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20.25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20.25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20.25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20.25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20.25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20.25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20.25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20.25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20.25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20.25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20.25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20.25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20.25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20.25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20.25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20.25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20.25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20.25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20.25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20.25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20.25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20.25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20.25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20.25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20.25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20.25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20.25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20.25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20.25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20.25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20.25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20.25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20.25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20.25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20.25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20.25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20.25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20.25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20.25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20.25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20.25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20.25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20.25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20.25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20.25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20.25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20.25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20.25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20.25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20.25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20.25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20.25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20.25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20.25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20.25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20.25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20.25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20.25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20.25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20.25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20.25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20.25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20.25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20.25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20.25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20.25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20.25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20.25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20.25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20.25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20.25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20.25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20.25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20.25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20.25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20.25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20.25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20.25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20.25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20.25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20.25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20.25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20.25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20.25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20.25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20.25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20.25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20.25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20.25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20.25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20.25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20.25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20.25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20.25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20.25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20.25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20.25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20.25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20.25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20.25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20.25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20.25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20.25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20.25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20.25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20.25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20.25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20.25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20.25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20.25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20.25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20.25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20.25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20.25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20.25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20.25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20.25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20.25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20.25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20.25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20.25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20.25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20.25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20.25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20.25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20.25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20.25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20.25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20.25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20.25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20.25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20.25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20.25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20.25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20.25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20.25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20.25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20.25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20.25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20.25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20.25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20.25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20.25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20.25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20.25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20.25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20.25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20.25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20.25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20.25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20.25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20.25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20.25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20.25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20.25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20.25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20.25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20.25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20.25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20.25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20.25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20.25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20.25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20.25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20.25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20.25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20.25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20.25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20.25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20.25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20.25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20.25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20.25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20.25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20.25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20.25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20.25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20.25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20.25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20.25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20.25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20.25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20.25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20.25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20.25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20.25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20.25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20.25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20.25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20.25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20.25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20.25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20.25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20.25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20.25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20.25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20.25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20.25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20.25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20.25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20.25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20.25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20.25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20.25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20.25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20.25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20.25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20.25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20.25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20.25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20.25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20.25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20.25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20.25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20.25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20.25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20.25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20.25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20.25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20.25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20.25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20.25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20.25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20.25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20.25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20.25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20.25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20.25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20.25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20.25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20.25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20.25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20.25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20.25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20.25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20.25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20.25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20.25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20.25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20.25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20.25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20.25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20.25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20.25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20.25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20.25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20.25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20.25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20.25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20.25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20.25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20.25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20.25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20.25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20.25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20.25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20.25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20.25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20.25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20.25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20.25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20.25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20.25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20.25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20.25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20.25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20.25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20.25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20.25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20.25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20.25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20.25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20.25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20.25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20.25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20.25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20.25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20.25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20.25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20.25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20.25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20.25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20.25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20.25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20.25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20.25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20.25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20.25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20.25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20.25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20.25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20.25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20.25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20.25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20.25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20.25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20.25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20.25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20.25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20.25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20.25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20.25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20.25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20.25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20.25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20.25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20.25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20.25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20.25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20.25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20.25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20.25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20.25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20.25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20.25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20.25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20.25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20.25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20.25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20.25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20.25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20.25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20.25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20.25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20.25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20.25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20.25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20.25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20.25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20.25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20.25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20.25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20.25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20.25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20.25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20.25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20.25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20.25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20.25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20.25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20.25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20.25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20.25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20.25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20.25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20.25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20.25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20.25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20.25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20.25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20.25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20.25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20.25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20.25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20.25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20.25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20.25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20.25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20.25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20.25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20.25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20.25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20.25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20.25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20.25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20.25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20.25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20.25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20.25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20.25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20.25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20.25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20.25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20.25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20.25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20.25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20.25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20.25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20.25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20.25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20.25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20.25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20.25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20.25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20.25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20.25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20.25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20.25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20.25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20.25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20.25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20.25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20.25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20.25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20.25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20.25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20.25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20.25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20.25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20.25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20.25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20.25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20.25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20.25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20.25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20.25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20.25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20.25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20.25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20.25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20.25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20.25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20.25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20.25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20.25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20.25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20.25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20.25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20.25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20.25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20.25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20.25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20.25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20.25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20.25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20.25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20.25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20.25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20.25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20.25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20.25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20.25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20.25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20.25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20.25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20.25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20.25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20.25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20.25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20.25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20.25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20.25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20.25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20.25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20.25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20.25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20.25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20.25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20.25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20.25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20.25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20.25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20.25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20.25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20.25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20.25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20.25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20.25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20.25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20.25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20.25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20.25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20.25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20.25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20.25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20.25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20.25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20.25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20.25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20.25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20.25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20.25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20.25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20.25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20.25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20.25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20.25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20.25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20.25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20.25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20.25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20.25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20.25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20.25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20.25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20.25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20.25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20.25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20.25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20.25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20.25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20.25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20.25" customHeigh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20.25" customHeigh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20.25" customHeigh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20.25" customHeigh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20.25" customHeigh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20.25" customHeigh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20.25" customHeigh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20.25" customHeigh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20.25" customHeigh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20.25" customHeigh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20.25" customHeigh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20.25" customHeigh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20.25" customHeigh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20.25" customHeigh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20.25" customHeigh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20.25" customHeigh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20.25" customHeigh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20.25" customHeigh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20.25" customHeigh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20.25" customHeigh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20.25" customHeigh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20.25" customHeigh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20.25" customHeigh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20.25" customHeigh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20.25" customHeigh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20.25" customHeigh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20.25" customHeigh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20.25" customHeigh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20.25" customHeigh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20.25" customHeigh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20.25" customHeigh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20.25" customHeigh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20.25" customHeigh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20.25" customHeigh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20.25" customHeigh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20.25" customHeigh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20.25" customHeigh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20.25" customHeigh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20.25" customHeigh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20.25" customHeigh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20.25" customHeigh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20.25" customHeigh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20.25" customHeigh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20.25" customHeigh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20.25" customHeigh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20.25" customHeigh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20.25" customHeigh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20.25" customHeigh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20.25" customHeigh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20.25" customHeigh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20.25" customHeigh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20.25" customHeigh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20.25" customHeigh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20.25" customHeigh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20.25" customHeigh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20.25" customHeigh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20.25" customHeigh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20.25" customHeigh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20.25" customHeigh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20.25" customHeigh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20.25" customHeigh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20.25" customHeigh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20.25" customHeigh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20.25" customHeigh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20.25" customHeigh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20.25" customHeigh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20.25" customHeigh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20.25" customHeigh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20.25" customHeigh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20.25" customHeigh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20.25" customHeigh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20.25" customHeigh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20.25" customHeigh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20.25" customHeigh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20.25" customHeigh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20.25" customHeigh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20.25" customHeigh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20.25" customHeigh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20.25" customHeigh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20.25" customHeigh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20.25" customHeigh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20.25" customHeigh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20.25" customHeigh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20.25" customHeigh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20.25" customHeigh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20.25" customHeigh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20.25" customHeigh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20.25" customHeigh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20.25" customHeigh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20.25" customHeigh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20.25" customHeigh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20.25" customHeigh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20.25" customHeight="1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20.25" customHeight="1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20.25" customHeight="1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20.25" customHeight="1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20.25" customHeight="1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20.25" customHeight="1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20.25" customHeight="1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20.25" customHeight="1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20.25" customHeight="1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20.25" customHeight="1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2:27" ht="20.25" customHeight="1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2:27" ht="20.25" customHeight="1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2:27" ht="20.25" customHeight="1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2:27" ht="20.25" customHeight="1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2:27" ht="20.25" customHeight="1" x14ac:dyDescent="0.3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2:27" ht="20.25" customHeight="1" x14ac:dyDescent="0.3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2:27" ht="20.25" customHeight="1" x14ac:dyDescent="0.3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2:27" ht="20.25" customHeight="1" x14ac:dyDescent="0.3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2:27" ht="20.25" customHeight="1" x14ac:dyDescent="0.3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2:27" ht="20.25" customHeight="1" x14ac:dyDescent="0.3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2:27" ht="20.25" customHeight="1" x14ac:dyDescent="0.3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2:27" ht="20.25" customHeight="1" x14ac:dyDescent="0.3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2:27" ht="20.25" customHeight="1" x14ac:dyDescent="0.3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2:27" ht="20.25" customHeight="1" x14ac:dyDescent="0.3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2:27" ht="20.25" customHeight="1" x14ac:dyDescent="0.3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2:27" ht="20.25" customHeight="1" x14ac:dyDescent="0.3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2:27" ht="20.25" customHeight="1" x14ac:dyDescent="0.3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2:27" ht="20.25" customHeight="1" x14ac:dyDescent="0.3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2:27" ht="20.25" customHeight="1" x14ac:dyDescent="0.3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2:27" ht="20.25" customHeight="1" x14ac:dyDescent="0.3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2:27" ht="20.25" customHeight="1" x14ac:dyDescent="0.3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2:27" ht="20.25" customHeight="1" x14ac:dyDescent="0.3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2:27" ht="20.25" customHeight="1" x14ac:dyDescent="0.3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2:27" ht="20.25" customHeight="1" x14ac:dyDescent="0.3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2:27" ht="20.25" customHeight="1" x14ac:dyDescent="0.3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2:27" ht="20.25" customHeight="1" x14ac:dyDescent="0.3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2:27" ht="20.25" customHeight="1" x14ac:dyDescent="0.3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2:27" ht="20.25" customHeight="1" x14ac:dyDescent="0.3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2:27" ht="20.25" customHeight="1" x14ac:dyDescent="0.3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2:27" ht="20.25" customHeight="1" x14ac:dyDescent="0.3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2:27" ht="20.25" customHeight="1" x14ac:dyDescent="0.3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2:27" ht="20.25" customHeight="1" x14ac:dyDescent="0.3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2:27" ht="20.25" customHeight="1" x14ac:dyDescent="0.3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2:27" ht="20.25" customHeight="1" x14ac:dyDescent="0.3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2:27" ht="20.25" customHeight="1" x14ac:dyDescent="0.3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2:27" ht="20.25" customHeight="1" x14ac:dyDescent="0.3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2:27" ht="20.25" customHeight="1" x14ac:dyDescent="0.3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2:27" ht="20.25" customHeight="1" x14ac:dyDescent="0.3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2:27" ht="20.25" customHeight="1" x14ac:dyDescent="0.3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2:27" ht="20.25" customHeight="1" x14ac:dyDescent="0.3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2:27" ht="20.25" customHeight="1" x14ac:dyDescent="0.3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2:27" ht="20.25" customHeight="1" x14ac:dyDescent="0.3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2:27" ht="20.25" customHeight="1" x14ac:dyDescent="0.3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2:27" ht="20.25" customHeight="1" x14ac:dyDescent="0.3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2:27" ht="20.25" customHeight="1" x14ac:dyDescent="0.3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2:27" ht="20.25" customHeight="1" x14ac:dyDescent="0.3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2:27" ht="20.25" customHeight="1" x14ac:dyDescent="0.3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2:27" ht="20.25" customHeight="1" x14ac:dyDescent="0.3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2:27" ht="20.25" customHeight="1" x14ac:dyDescent="0.3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2:27" ht="20.25" customHeight="1" x14ac:dyDescent="0.3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2:27" ht="20.25" customHeight="1" x14ac:dyDescent="0.3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2:27" ht="20.25" customHeight="1" x14ac:dyDescent="0.3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2:27" ht="20.25" customHeight="1" x14ac:dyDescent="0.3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2:27" ht="20.25" customHeight="1" x14ac:dyDescent="0.3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2:27" ht="20.25" customHeight="1" x14ac:dyDescent="0.3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2:27" ht="20.25" customHeight="1" x14ac:dyDescent="0.3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2:27" ht="20.25" customHeight="1" x14ac:dyDescent="0.3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2:27" ht="20.25" customHeight="1" x14ac:dyDescent="0.3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2:27" ht="20.25" customHeight="1" x14ac:dyDescent="0.3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2:27" ht="20.25" customHeight="1" x14ac:dyDescent="0.3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2:27" ht="20.25" customHeight="1" x14ac:dyDescent="0.3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2:27" ht="20.25" customHeight="1" x14ac:dyDescent="0.3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2:27" ht="20.25" customHeight="1" x14ac:dyDescent="0.3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2:27" ht="20.25" customHeight="1" x14ac:dyDescent="0.3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</sheetData>
  <mergeCells count="9">
    <mergeCell ref="B88:E88"/>
    <mergeCell ref="D96:E96"/>
    <mergeCell ref="D97:E97"/>
    <mergeCell ref="B1:H1"/>
    <mergeCell ref="B2:H2"/>
    <mergeCell ref="B4:B5"/>
    <mergeCell ref="C4:C5"/>
    <mergeCell ref="D4:D5"/>
    <mergeCell ref="E4:E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43B75-6894-4338-A2E5-00D67B623A7D}">
  <dimension ref="B1:AA1071"/>
  <sheetViews>
    <sheetView topLeftCell="C1" zoomScale="115" zoomScaleNormal="115" workbookViewId="0">
      <selection activeCell="E30" sqref="E30"/>
    </sheetView>
  </sheetViews>
  <sheetFormatPr defaultColWidth="12.625" defaultRowHeight="15" x14ac:dyDescent="0.25"/>
  <cols>
    <col min="1" max="1" width="1.375" style="1" customWidth="1"/>
    <col min="2" max="2" width="5.5" style="1" customWidth="1"/>
    <col min="3" max="3" width="12.75" style="1" customWidth="1"/>
    <col min="4" max="4" width="11.75" style="1" customWidth="1"/>
    <col min="5" max="5" width="27.375" style="1" bestFit="1" customWidth="1"/>
    <col min="6" max="6" width="22.5" style="1" customWidth="1"/>
    <col min="7" max="7" width="20.75" style="1" customWidth="1"/>
    <col min="8" max="8" width="12.375" style="1" customWidth="1"/>
    <col min="9" max="10" width="22.5" style="1" customWidth="1"/>
    <col min="11" max="27" width="7.625" style="1" customWidth="1"/>
    <col min="28" max="16384" width="12.625" style="1"/>
  </cols>
  <sheetData>
    <row r="1" spans="2:27" ht="20.25" customHeight="1" x14ac:dyDescent="0.3">
      <c r="B1" s="79" t="s">
        <v>116</v>
      </c>
      <c r="C1" s="80"/>
      <c r="D1" s="80"/>
      <c r="E1" s="80"/>
      <c r="F1" s="80"/>
      <c r="G1" s="80"/>
      <c r="H1" s="80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7.5" customHeight="1" x14ac:dyDescent="0.3">
      <c r="B2" s="4"/>
      <c r="C2" s="4"/>
      <c r="D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23.25" customHeight="1" x14ac:dyDescent="0.3">
      <c r="B3" s="81" t="s">
        <v>0</v>
      </c>
      <c r="C3" s="81" t="s">
        <v>1</v>
      </c>
      <c r="D3" s="81" t="s">
        <v>2</v>
      </c>
      <c r="E3" s="81" t="s">
        <v>3</v>
      </c>
      <c r="F3" s="83" t="s">
        <v>115</v>
      </c>
      <c r="G3" s="84"/>
      <c r="H3" s="81" t="s">
        <v>5</v>
      </c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ht="71.25" customHeight="1" x14ac:dyDescent="0.3">
      <c r="B4" s="82"/>
      <c r="C4" s="82"/>
      <c r="D4" s="82"/>
      <c r="E4" s="82"/>
      <c r="F4" s="44" t="s">
        <v>113</v>
      </c>
      <c r="G4" s="40" t="s">
        <v>112</v>
      </c>
      <c r="H4" s="85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20.25" customHeight="1" x14ac:dyDescent="0.3">
      <c r="B5" s="8">
        <f>ROW(A1)</f>
        <v>1</v>
      </c>
      <c r="C5" s="53" t="s">
        <v>7</v>
      </c>
      <c r="D5" s="54" t="s">
        <v>8</v>
      </c>
      <c r="E5" s="12" t="s">
        <v>9</v>
      </c>
      <c r="F5" s="43" t="s">
        <v>111</v>
      </c>
      <c r="G5" s="8"/>
      <c r="H5" s="10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20.25" customHeight="1" x14ac:dyDescent="0.3">
      <c r="B6" s="8">
        <f t="shared" ref="B6:B44" si="0">ROW(A2)</f>
        <v>2</v>
      </c>
      <c r="C6" s="53"/>
      <c r="D6" s="55"/>
      <c r="E6" s="56" t="s">
        <v>117</v>
      </c>
      <c r="F6" s="43" t="s">
        <v>111</v>
      </c>
      <c r="G6" s="25"/>
      <c r="H6" s="1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20.25" customHeight="1" x14ac:dyDescent="0.3">
      <c r="B7" s="8">
        <f t="shared" si="0"/>
        <v>3</v>
      </c>
      <c r="C7" s="57"/>
      <c r="D7" s="58"/>
      <c r="E7" s="59" t="s">
        <v>118</v>
      </c>
      <c r="F7" s="43" t="s">
        <v>111</v>
      </c>
      <c r="G7" s="25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20.25" customHeight="1" x14ac:dyDescent="0.3">
      <c r="B8" s="8">
        <f t="shared" si="0"/>
        <v>4</v>
      </c>
      <c r="C8" s="57"/>
      <c r="D8" s="58"/>
      <c r="E8" s="59" t="s">
        <v>119</v>
      </c>
      <c r="F8" s="43" t="s">
        <v>111</v>
      </c>
      <c r="G8" s="41"/>
      <c r="H8" s="1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20.25" customHeight="1" x14ac:dyDescent="0.3">
      <c r="B9" s="8">
        <f t="shared" si="0"/>
        <v>5</v>
      </c>
      <c r="C9" s="57"/>
      <c r="D9" s="58"/>
      <c r="E9" s="59" t="s">
        <v>120</v>
      </c>
      <c r="F9" s="43" t="s">
        <v>111</v>
      </c>
      <c r="G9" s="43"/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ht="20.25" customHeight="1" x14ac:dyDescent="0.3">
      <c r="B10" s="8">
        <f t="shared" si="0"/>
        <v>6</v>
      </c>
      <c r="C10" s="57"/>
      <c r="D10" s="58"/>
      <c r="E10" s="59" t="s">
        <v>121</v>
      </c>
      <c r="F10" s="43" t="s">
        <v>111</v>
      </c>
      <c r="G10" s="38"/>
      <c r="H10" s="1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ht="20.25" customHeight="1" x14ac:dyDescent="0.3">
      <c r="B11" s="8">
        <f t="shared" si="0"/>
        <v>7</v>
      </c>
      <c r="C11" s="57"/>
      <c r="D11" s="58"/>
      <c r="E11" s="59" t="s">
        <v>122</v>
      </c>
      <c r="F11" s="43" t="s">
        <v>111</v>
      </c>
      <c r="G11" s="36"/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ht="20.25" customHeight="1" x14ac:dyDescent="0.3">
      <c r="B12" s="8">
        <f t="shared" si="0"/>
        <v>8</v>
      </c>
      <c r="C12" s="57"/>
      <c r="D12" s="58"/>
      <c r="E12" s="59" t="s">
        <v>123</v>
      </c>
      <c r="F12" s="43" t="s">
        <v>111</v>
      </c>
      <c r="G12" s="25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20.25" customHeight="1" x14ac:dyDescent="0.3">
      <c r="B13" s="8">
        <f t="shared" si="0"/>
        <v>9</v>
      </c>
      <c r="C13" s="57"/>
      <c r="D13" s="58"/>
      <c r="E13" s="59" t="s">
        <v>124</v>
      </c>
      <c r="F13" s="43" t="s">
        <v>111</v>
      </c>
      <c r="G13" s="25"/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ht="20.25" customHeight="1" x14ac:dyDescent="0.3">
      <c r="B14" s="8">
        <f t="shared" si="0"/>
        <v>10</v>
      </c>
      <c r="C14" s="57"/>
      <c r="D14" s="58"/>
      <c r="E14" s="59" t="s">
        <v>125</v>
      </c>
      <c r="F14" s="43" t="s">
        <v>111</v>
      </c>
      <c r="G14" s="25"/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ht="20.25" customHeight="1" x14ac:dyDescent="0.3">
      <c r="B15" s="8">
        <f t="shared" si="0"/>
        <v>11</v>
      </c>
      <c r="C15" s="57"/>
      <c r="D15" s="58"/>
      <c r="E15" s="59" t="s">
        <v>126</v>
      </c>
      <c r="F15" s="43" t="s">
        <v>111</v>
      </c>
      <c r="G15" s="25"/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t="20.25" customHeight="1" x14ac:dyDescent="0.3">
      <c r="B16" s="8">
        <f t="shared" si="0"/>
        <v>12</v>
      </c>
      <c r="C16" s="57"/>
      <c r="D16" s="58"/>
      <c r="E16" s="59" t="s">
        <v>23</v>
      </c>
      <c r="F16" s="43" t="s">
        <v>111</v>
      </c>
      <c r="G16" s="25"/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20.25" customHeight="1" x14ac:dyDescent="0.3">
      <c r="B17" s="8">
        <f t="shared" si="0"/>
        <v>13</v>
      </c>
      <c r="C17" s="60"/>
      <c r="D17" s="61"/>
      <c r="E17" s="59" t="s">
        <v>127</v>
      </c>
      <c r="F17" s="43" t="s">
        <v>111</v>
      </c>
      <c r="G17" s="25"/>
      <c r="H17" s="2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20.25" customHeight="1" x14ac:dyDescent="0.3">
      <c r="B18" s="8">
        <f t="shared" si="0"/>
        <v>14</v>
      </c>
      <c r="C18" s="60"/>
      <c r="D18" s="61"/>
      <c r="E18" s="59" t="s">
        <v>22</v>
      </c>
      <c r="F18" s="43" t="s">
        <v>111</v>
      </c>
      <c r="G18" s="25"/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20.25" customHeight="1" x14ac:dyDescent="0.3">
      <c r="B19" s="8">
        <f t="shared" si="0"/>
        <v>15</v>
      </c>
      <c r="C19" s="62"/>
      <c r="D19" s="63"/>
      <c r="E19" s="59" t="s">
        <v>24</v>
      </c>
      <c r="F19" s="43" t="s">
        <v>111</v>
      </c>
      <c r="G19" s="25"/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20.25" customHeight="1" x14ac:dyDescent="0.3">
      <c r="B20" s="8">
        <f t="shared" si="0"/>
        <v>16</v>
      </c>
      <c r="C20" s="62"/>
      <c r="D20" s="64" t="s">
        <v>25</v>
      </c>
      <c r="E20" s="59" t="s">
        <v>128</v>
      </c>
      <c r="F20" s="43" t="s">
        <v>111</v>
      </c>
      <c r="G20" s="25"/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20.25" customHeight="1" x14ac:dyDescent="0.3">
      <c r="B21" s="8">
        <f t="shared" si="0"/>
        <v>17</v>
      </c>
      <c r="C21" s="62"/>
      <c r="D21" s="65"/>
      <c r="E21" s="59" t="s">
        <v>129</v>
      </c>
      <c r="F21" s="43" t="s">
        <v>111</v>
      </c>
      <c r="G21" s="25"/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20.25" customHeight="1" x14ac:dyDescent="0.3">
      <c r="B22" s="8">
        <f t="shared" si="0"/>
        <v>18</v>
      </c>
      <c r="C22" s="62"/>
      <c r="D22" s="65"/>
      <c r="E22" s="59" t="s">
        <v>130</v>
      </c>
      <c r="F22" s="43" t="s">
        <v>111</v>
      </c>
      <c r="G22" s="25"/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20.25" customHeight="1" x14ac:dyDescent="0.3">
      <c r="B23" s="8">
        <f t="shared" si="0"/>
        <v>19</v>
      </c>
      <c r="C23" s="62"/>
      <c r="D23" s="65"/>
      <c r="E23" s="59" t="s">
        <v>131</v>
      </c>
      <c r="F23" s="43" t="s">
        <v>111</v>
      </c>
      <c r="G23" s="25"/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20.25" customHeight="1" x14ac:dyDescent="0.3">
      <c r="B24" s="8">
        <f t="shared" si="0"/>
        <v>20</v>
      </c>
      <c r="C24" s="62"/>
      <c r="D24" s="65"/>
      <c r="E24" s="59" t="s">
        <v>132</v>
      </c>
      <c r="F24" s="43" t="s">
        <v>111</v>
      </c>
      <c r="G24" s="25"/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20.25" customHeight="1" x14ac:dyDescent="0.3">
      <c r="B25" s="8">
        <f t="shared" si="0"/>
        <v>21</v>
      </c>
      <c r="C25" s="62"/>
      <c r="D25" s="65"/>
      <c r="E25" s="59" t="s">
        <v>133</v>
      </c>
      <c r="F25" s="43" t="s">
        <v>111</v>
      </c>
      <c r="G25" s="43"/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20.25" customHeight="1" x14ac:dyDescent="0.3">
      <c r="B26" s="8">
        <f t="shared" si="0"/>
        <v>22</v>
      </c>
      <c r="C26" s="62"/>
      <c r="D26" s="65"/>
      <c r="E26" s="59" t="s">
        <v>134</v>
      </c>
      <c r="F26" s="43" t="s">
        <v>111</v>
      </c>
      <c r="G26" s="43"/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20.25" customHeight="1" x14ac:dyDescent="0.3">
      <c r="B27" s="8">
        <f t="shared" si="0"/>
        <v>23</v>
      </c>
      <c r="C27" s="62"/>
      <c r="D27" s="65"/>
      <c r="E27" s="59" t="s">
        <v>36</v>
      </c>
      <c r="F27" s="43" t="s">
        <v>111</v>
      </c>
      <c r="G27" s="43"/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20.25" customHeight="1" x14ac:dyDescent="0.3">
      <c r="B28" s="8">
        <f t="shared" si="0"/>
        <v>24</v>
      </c>
      <c r="C28" s="62"/>
      <c r="D28" s="65"/>
      <c r="E28" s="59" t="s">
        <v>37</v>
      </c>
      <c r="F28" s="43" t="s">
        <v>111</v>
      </c>
      <c r="G28" s="43"/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20.25" customHeight="1" x14ac:dyDescent="0.3">
      <c r="B29" s="8">
        <f t="shared" si="0"/>
        <v>25</v>
      </c>
      <c r="C29" s="62"/>
      <c r="D29" s="65"/>
      <c r="E29" s="59" t="s">
        <v>34</v>
      </c>
      <c r="F29" s="43" t="s">
        <v>111</v>
      </c>
      <c r="G29" s="4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20.25" customHeight="1" x14ac:dyDescent="0.3">
      <c r="B30" s="8">
        <f t="shared" si="0"/>
        <v>26</v>
      </c>
      <c r="C30" s="62"/>
      <c r="D30" s="65"/>
      <c r="E30" s="59" t="s">
        <v>35</v>
      </c>
      <c r="F30" s="43"/>
      <c r="G30" s="43" t="s">
        <v>111</v>
      </c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20.25" customHeight="1" x14ac:dyDescent="0.3">
      <c r="B31" s="8">
        <f t="shared" si="0"/>
        <v>27</v>
      </c>
      <c r="C31" s="62"/>
      <c r="D31" s="65"/>
      <c r="E31" s="59" t="s">
        <v>33</v>
      </c>
      <c r="F31" s="43" t="s">
        <v>111</v>
      </c>
      <c r="G31" s="43"/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20.25" customHeight="1" x14ac:dyDescent="0.3">
      <c r="B32" s="8">
        <f t="shared" si="0"/>
        <v>28</v>
      </c>
      <c r="C32" s="62"/>
      <c r="D32" s="64" t="s">
        <v>38</v>
      </c>
      <c r="E32" s="59" t="s">
        <v>135</v>
      </c>
      <c r="F32" s="43" t="s">
        <v>111</v>
      </c>
      <c r="G32" s="25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20.25" customHeight="1" x14ac:dyDescent="0.3">
      <c r="B33" s="8">
        <f t="shared" si="0"/>
        <v>29</v>
      </c>
      <c r="C33" s="62"/>
      <c r="D33" s="65"/>
      <c r="E33" s="59" t="s">
        <v>136</v>
      </c>
      <c r="F33" s="43" t="s">
        <v>111</v>
      </c>
      <c r="G33" s="4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20.25" customHeight="1" x14ac:dyDescent="0.3">
      <c r="B34" s="8">
        <f t="shared" si="0"/>
        <v>30</v>
      </c>
      <c r="C34" s="62"/>
      <c r="D34" s="65"/>
      <c r="E34" s="59" t="s">
        <v>137</v>
      </c>
      <c r="F34" s="43" t="s">
        <v>111</v>
      </c>
      <c r="G34" s="25"/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20.25" customHeight="1" x14ac:dyDescent="0.3">
      <c r="B35" s="8">
        <f t="shared" si="0"/>
        <v>31</v>
      </c>
      <c r="C35" s="62"/>
      <c r="D35" s="65"/>
      <c r="E35" s="59" t="s">
        <v>138</v>
      </c>
      <c r="F35" s="43" t="s">
        <v>111</v>
      </c>
      <c r="G35" s="25"/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20.25" customHeight="1" x14ac:dyDescent="0.3">
      <c r="B36" s="8">
        <f t="shared" si="0"/>
        <v>32</v>
      </c>
      <c r="C36" s="62"/>
      <c r="D36" s="65"/>
      <c r="E36" s="59" t="s">
        <v>139</v>
      </c>
      <c r="F36" s="43" t="s">
        <v>111</v>
      </c>
      <c r="G36" s="25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20.25" customHeight="1" x14ac:dyDescent="0.3">
      <c r="B37" s="8">
        <f t="shared" si="0"/>
        <v>33</v>
      </c>
      <c r="C37" s="62"/>
      <c r="D37" s="65"/>
      <c r="E37" s="59" t="s">
        <v>140</v>
      </c>
      <c r="F37" s="43" t="s">
        <v>111</v>
      </c>
      <c r="G37" s="25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20.25" customHeight="1" x14ac:dyDescent="0.3">
      <c r="B38" s="8">
        <f t="shared" si="0"/>
        <v>34</v>
      </c>
      <c r="C38" s="62"/>
      <c r="D38" s="65"/>
      <c r="E38" s="59" t="s">
        <v>47</v>
      </c>
      <c r="F38" s="43" t="s">
        <v>111</v>
      </c>
      <c r="G38" s="4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20.25" customHeight="1" x14ac:dyDescent="0.3">
      <c r="B39" s="8">
        <f t="shared" si="0"/>
        <v>35</v>
      </c>
      <c r="C39" s="62"/>
      <c r="D39" s="65"/>
      <c r="E39" s="59" t="s">
        <v>46</v>
      </c>
      <c r="F39" s="43" t="s">
        <v>111</v>
      </c>
      <c r="G39" s="43"/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20.25" customHeight="1" x14ac:dyDescent="0.3">
      <c r="B40" s="8">
        <f t="shared" si="0"/>
        <v>36</v>
      </c>
      <c r="C40" s="62"/>
      <c r="D40" s="65"/>
      <c r="E40" s="59" t="s">
        <v>141</v>
      </c>
      <c r="F40" s="43" t="s">
        <v>111</v>
      </c>
      <c r="G40" s="25"/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20.25" customHeight="1" x14ac:dyDescent="0.3">
      <c r="B41" s="8">
        <f t="shared" si="0"/>
        <v>37</v>
      </c>
      <c r="C41" s="62"/>
      <c r="D41" s="65"/>
      <c r="E41" s="59" t="s">
        <v>45</v>
      </c>
      <c r="F41" s="43" t="s">
        <v>111</v>
      </c>
      <c r="G41" s="25"/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20.25" customHeight="1" x14ac:dyDescent="0.3">
      <c r="B42" s="8">
        <f t="shared" si="0"/>
        <v>38</v>
      </c>
      <c r="C42" s="62"/>
      <c r="D42" s="65"/>
      <c r="E42" s="59" t="s">
        <v>142</v>
      </c>
      <c r="F42" s="43"/>
      <c r="G42" s="43" t="s">
        <v>111</v>
      </c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20.25" customHeight="1" x14ac:dyDescent="0.3">
      <c r="B43" s="8">
        <f t="shared" si="0"/>
        <v>39</v>
      </c>
      <c r="C43" s="66"/>
      <c r="D43" s="67"/>
      <c r="E43" s="68" t="s">
        <v>49</v>
      </c>
      <c r="F43" s="43" t="s">
        <v>111</v>
      </c>
      <c r="G43" s="41"/>
      <c r="H43" s="4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20.25" customHeight="1" x14ac:dyDescent="0.3">
      <c r="B44" s="8">
        <f t="shared" si="0"/>
        <v>40</v>
      </c>
      <c r="C44" s="61"/>
      <c r="D44" s="61"/>
      <c r="E44" s="59" t="s">
        <v>51</v>
      </c>
      <c r="F44" s="43" t="s">
        <v>111</v>
      </c>
      <c r="G44" s="43"/>
      <c r="H44" s="2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20.25" customHeight="1" x14ac:dyDescent="0.3">
      <c r="B45" s="39"/>
      <c r="C45" s="69"/>
      <c r="D45" s="69"/>
      <c r="E45" s="70"/>
      <c r="F45" s="45"/>
      <c r="G45" s="4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20.25" customHeight="1" x14ac:dyDescent="0.3">
      <c r="B46" s="39"/>
      <c r="C46" s="69"/>
      <c r="D46" s="69"/>
      <c r="E46" s="70"/>
      <c r="F46" s="45"/>
      <c r="G46" s="4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20.25" customHeight="1" x14ac:dyDescent="0.3">
      <c r="B47" s="51">
        <f>ROW(A41)</f>
        <v>41</v>
      </c>
      <c r="C47" s="61"/>
      <c r="D47" s="71" t="s">
        <v>52</v>
      </c>
      <c r="E47" s="59" t="s">
        <v>143</v>
      </c>
      <c r="F47" s="43" t="s">
        <v>111</v>
      </c>
      <c r="G47" s="38"/>
      <c r="H47" s="2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20.25" customHeight="1" x14ac:dyDescent="0.3">
      <c r="B48" s="51">
        <f t="shared" ref="B48:B88" si="1">ROW(A42)</f>
        <v>42</v>
      </c>
      <c r="C48" s="63"/>
      <c r="D48" s="65"/>
      <c r="E48" s="72" t="s">
        <v>144</v>
      </c>
      <c r="F48" s="43" t="s">
        <v>111</v>
      </c>
      <c r="G48" s="36"/>
      <c r="H48" s="5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20.25" customHeight="1" x14ac:dyDescent="0.3">
      <c r="B49" s="51">
        <f t="shared" si="1"/>
        <v>43</v>
      </c>
      <c r="C49" s="62"/>
      <c r="D49" s="60"/>
      <c r="E49" s="59" t="s">
        <v>145</v>
      </c>
      <c r="F49" s="43" t="s">
        <v>111</v>
      </c>
      <c r="G49" s="25"/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20.25" customHeight="1" x14ac:dyDescent="0.3">
      <c r="B50" s="51">
        <f t="shared" si="1"/>
        <v>44</v>
      </c>
      <c r="C50" s="62"/>
      <c r="D50" s="60"/>
      <c r="E50" s="59" t="s">
        <v>146</v>
      </c>
      <c r="F50" s="43" t="s">
        <v>111</v>
      </c>
      <c r="G50" s="25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20.25" customHeight="1" x14ac:dyDescent="0.3">
      <c r="B51" s="51">
        <f t="shared" si="1"/>
        <v>45</v>
      </c>
      <c r="C51" s="62"/>
      <c r="D51" s="60"/>
      <c r="E51" s="59" t="s">
        <v>147</v>
      </c>
      <c r="F51" s="43" t="s">
        <v>111</v>
      </c>
      <c r="G51" s="25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20.25" customHeight="1" x14ac:dyDescent="0.3">
      <c r="B52" s="51">
        <f t="shared" si="1"/>
        <v>46</v>
      </c>
      <c r="C52" s="62"/>
      <c r="D52" s="60"/>
      <c r="E52" s="59" t="s">
        <v>57</v>
      </c>
      <c r="F52" s="43" t="s">
        <v>111</v>
      </c>
      <c r="G52" s="25"/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20.25" customHeight="1" x14ac:dyDescent="0.3">
      <c r="B53" s="51">
        <f t="shared" si="1"/>
        <v>47</v>
      </c>
      <c r="C53" s="62"/>
      <c r="D53" s="71" t="s">
        <v>59</v>
      </c>
      <c r="E53" s="59" t="s">
        <v>148</v>
      </c>
      <c r="F53" s="43" t="s">
        <v>111</v>
      </c>
      <c r="G53" s="25"/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20.25" customHeight="1" x14ac:dyDescent="0.3">
      <c r="B54" s="51">
        <f t="shared" si="1"/>
        <v>48</v>
      </c>
      <c r="C54" s="62"/>
      <c r="D54" s="60"/>
      <c r="E54" s="59" t="s">
        <v>149</v>
      </c>
      <c r="F54" s="43" t="s">
        <v>111</v>
      </c>
      <c r="G54" s="25"/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20.25" customHeight="1" x14ac:dyDescent="0.3">
      <c r="B55" s="51">
        <f t="shared" si="1"/>
        <v>49</v>
      </c>
      <c r="C55" s="62"/>
      <c r="D55" s="60"/>
      <c r="E55" s="59" t="s">
        <v>150</v>
      </c>
      <c r="F55" s="43"/>
      <c r="G55" s="43" t="s">
        <v>111</v>
      </c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20.25" customHeight="1" x14ac:dyDescent="0.3">
      <c r="B56" s="51">
        <f t="shared" si="1"/>
        <v>50</v>
      </c>
      <c r="C56" s="62"/>
      <c r="D56" s="60"/>
      <c r="E56" s="59" t="s">
        <v>151</v>
      </c>
      <c r="F56" s="43" t="s">
        <v>111</v>
      </c>
      <c r="G56" s="25"/>
      <c r="H56" s="23"/>
      <c r="I56" s="3"/>
      <c r="J56" s="33"/>
      <c r="K56" s="33"/>
      <c r="L56" s="3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20.25" customHeight="1" x14ac:dyDescent="0.3">
      <c r="B57" s="51">
        <f t="shared" si="1"/>
        <v>51</v>
      </c>
      <c r="C57" s="62"/>
      <c r="D57" s="60"/>
      <c r="E57" s="59" t="s">
        <v>152</v>
      </c>
      <c r="F57" s="43"/>
      <c r="G57" s="43" t="s">
        <v>111</v>
      </c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25" customHeight="1" x14ac:dyDescent="0.3">
      <c r="B58" s="51">
        <f t="shared" si="1"/>
        <v>52</v>
      </c>
      <c r="C58" s="62"/>
      <c r="D58" s="60"/>
      <c r="E58" s="59" t="s">
        <v>153</v>
      </c>
      <c r="F58" s="43" t="s">
        <v>111</v>
      </c>
      <c r="G58" s="25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25" customHeight="1" x14ac:dyDescent="0.3">
      <c r="B59" s="51">
        <f t="shared" si="1"/>
        <v>53</v>
      </c>
      <c r="C59" s="62"/>
      <c r="D59" s="60"/>
      <c r="E59" s="59" t="s">
        <v>154</v>
      </c>
      <c r="F59" s="43" t="s">
        <v>111</v>
      </c>
      <c r="G59" s="25"/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25" customHeight="1" x14ac:dyDescent="0.3">
      <c r="B60" s="51">
        <f t="shared" si="1"/>
        <v>54</v>
      </c>
      <c r="C60" s="62"/>
      <c r="D60" s="64" t="s">
        <v>67</v>
      </c>
      <c r="E60" s="59" t="s">
        <v>155</v>
      </c>
      <c r="F60" s="43" t="s">
        <v>111</v>
      </c>
      <c r="G60" s="25"/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25" customHeight="1" x14ac:dyDescent="0.3">
      <c r="B61" s="51">
        <f t="shared" si="1"/>
        <v>55</v>
      </c>
      <c r="C61" s="62"/>
      <c r="D61" s="60"/>
      <c r="E61" s="59" t="s">
        <v>156</v>
      </c>
      <c r="F61" s="43" t="s">
        <v>111</v>
      </c>
      <c r="G61" s="25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25" customHeight="1" x14ac:dyDescent="0.3">
      <c r="B62" s="51">
        <f t="shared" si="1"/>
        <v>56</v>
      </c>
      <c r="C62" s="62"/>
      <c r="D62" s="60"/>
      <c r="E62" s="59" t="s">
        <v>157</v>
      </c>
      <c r="F62" s="43"/>
      <c r="G62" s="43" t="s">
        <v>111</v>
      </c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25" customHeight="1" x14ac:dyDescent="0.3">
      <c r="B63" s="51">
        <f t="shared" si="1"/>
        <v>57</v>
      </c>
      <c r="C63" s="62"/>
      <c r="D63" s="60"/>
      <c r="E63" s="59" t="s">
        <v>158</v>
      </c>
      <c r="F63" s="43" t="s">
        <v>111</v>
      </c>
      <c r="G63" s="25"/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20.25" customHeight="1" x14ac:dyDescent="0.3">
      <c r="B64" s="51">
        <f t="shared" si="1"/>
        <v>58</v>
      </c>
      <c r="C64" s="62"/>
      <c r="D64" s="60"/>
      <c r="E64" s="59" t="s">
        <v>159</v>
      </c>
      <c r="F64" s="43" t="s">
        <v>111</v>
      </c>
      <c r="G64" s="25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0.25" customHeight="1" x14ac:dyDescent="0.3">
      <c r="B65" s="51">
        <f t="shared" si="1"/>
        <v>59</v>
      </c>
      <c r="C65" s="62"/>
      <c r="D65" s="71" t="s">
        <v>73</v>
      </c>
      <c r="E65" s="59" t="s">
        <v>76</v>
      </c>
      <c r="F65" s="43" t="s">
        <v>111</v>
      </c>
      <c r="G65" s="25"/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20.25" customHeight="1" x14ac:dyDescent="0.3">
      <c r="B66" s="51">
        <f t="shared" si="1"/>
        <v>60</v>
      </c>
      <c r="C66" s="62"/>
      <c r="D66" s="60"/>
      <c r="E66" s="59" t="s">
        <v>78</v>
      </c>
      <c r="F66" s="43" t="s">
        <v>111</v>
      </c>
      <c r="G66" s="25"/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20.25" customHeight="1" x14ac:dyDescent="0.3">
      <c r="B67" s="51">
        <f t="shared" si="1"/>
        <v>61</v>
      </c>
      <c r="C67" s="62"/>
      <c r="D67" s="60"/>
      <c r="E67" s="59" t="s">
        <v>160</v>
      </c>
      <c r="F67" s="43" t="s">
        <v>111</v>
      </c>
      <c r="G67" s="25"/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20.25" customHeight="1" x14ac:dyDescent="0.3">
      <c r="B68" s="51">
        <f t="shared" si="1"/>
        <v>62</v>
      </c>
      <c r="C68" s="62"/>
      <c r="D68" s="60"/>
      <c r="E68" s="59" t="s">
        <v>161</v>
      </c>
      <c r="F68" s="43" t="s">
        <v>111</v>
      </c>
      <c r="G68" s="25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20.25" customHeight="1" x14ac:dyDescent="0.3">
      <c r="B69" s="51">
        <f t="shared" si="1"/>
        <v>63</v>
      </c>
      <c r="C69" s="62"/>
      <c r="D69" s="60"/>
      <c r="E69" s="59" t="s">
        <v>162</v>
      </c>
      <c r="F69" s="43" t="s">
        <v>111</v>
      </c>
      <c r="G69" s="25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20.25" customHeight="1" x14ac:dyDescent="0.3">
      <c r="B70" s="51">
        <f t="shared" si="1"/>
        <v>64</v>
      </c>
      <c r="C70" s="62"/>
      <c r="D70" s="60"/>
      <c r="E70" s="59" t="s">
        <v>79</v>
      </c>
      <c r="F70" s="43" t="s">
        <v>111</v>
      </c>
      <c r="G70" s="25"/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20.25" customHeight="1" x14ac:dyDescent="0.3">
      <c r="B71" s="51">
        <f t="shared" si="1"/>
        <v>65</v>
      </c>
      <c r="C71" s="62"/>
      <c r="D71" s="64" t="s">
        <v>80</v>
      </c>
      <c r="E71" s="59" t="s">
        <v>163</v>
      </c>
      <c r="F71" s="43" t="s">
        <v>111</v>
      </c>
      <c r="G71" s="43"/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20.25" customHeight="1" x14ac:dyDescent="0.3">
      <c r="B72" s="51">
        <f t="shared" si="1"/>
        <v>66</v>
      </c>
      <c r="C72" s="62"/>
      <c r="D72" s="60"/>
      <c r="E72" s="59" t="s">
        <v>85</v>
      </c>
      <c r="F72" s="43" t="s">
        <v>111</v>
      </c>
      <c r="G72" s="4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20.25" customHeight="1" x14ac:dyDescent="0.3">
      <c r="B73" s="51">
        <f t="shared" si="1"/>
        <v>67</v>
      </c>
      <c r="C73" s="62"/>
      <c r="D73" s="60"/>
      <c r="E73" s="59" t="s">
        <v>84</v>
      </c>
      <c r="F73" s="43" t="s">
        <v>111</v>
      </c>
      <c r="G73" s="25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20.25" customHeight="1" x14ac:dyDescent="0.3">
      <c r="B74" s="51">
        <f t="shared" si="1"/>
        <v>68</v>
      </c>
      <c r="C74" s="62"/>
      <c r="D74" s="60"/>
      <c r="E74" s="59" t="s">
        <v>82</v>
      </c>
      <c r="F74" s="43"/>
      <c r="G74" s="43" t="s">
        <v>111</v>
      </c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20.25" customHeight="1" x14ac:dyDescent="0.3">
      <c r="B75" s="51">
        <f t="shared" si="1"/>
        <v>69</v>
      </c>
      <c r="C75" s="62"/>
      <c r="D75" s="60"/>
      <c r="E75" s="59" t="s">
        <v>83</v>
      </c>
      <c r="F75" s="43" t="s">
        <v>111</v>
      </c>
      <c r="G75" s="25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20.25" customHeight="1" x14ac:dyDescent="0.3">
      <c r="B76" s="51">
        <f t="shared" si="1"/>
        <v>70</v>
      </c>
      <c r="C76" s="62"/>
      <c r="D76" s="71" t="s">
        <v>86</v>
      </c>
      <c r="E76" s="59" t="s">
        <v>164</v>
      </c>
      <c r="F76" s="43" t="s">
        <v>111</v>
      </c>
      <c r="G76" s="25"/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20.25" customHeight="1" x14ac:dyDescent="0.3">
      <c r="B77" s="51">
        <f t="shared" si="1"/>
        <v>71</v>
      </c>
      <c r="C77" s="60"/>
      <c r="D77" s="64"/>
      <c r="E77" s="59" t="s">
        <v>93</v>
      </c>
      <c r="F77" s="43" t="s">
        <v>111</v>
      </c>
      <c r="G77" s="25"/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20.25" customHeight="1" x14ac:dyDescent="0.3">
      <c r="B78" s="51">
        <f t="shared" si="1"/>
        <v>72</v>
      </c>
      <c r="C78" s="60"/>
      <c r="D78" s="64"/>
      <c r="E78" s="59" t="s">
        <v>88</v>
      </c>
      <c r="F78" s="43" t="s">
        <v>111</v>
      </c>
      <c r="G78" s="25"/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20.25" customHeight="1" x14ac:dyDescent="0.3">
      <c r="B79" s="51">
        <f t="shared" si="1"/>
        <v>73</v>
      </c>
      <c r="C79" s="60"/>
      <c r="D79" s="64"/>
      <c r="E79" s="59" t="s">
        <v>90</v>
      </c>
      <c r="F79" s="43" t="s">
        <v>111</v>
      </c>
      <c r="G79" s="25"/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20.25" customHeight="1" x14ac:dyDescent="0.3">
      <c r="B80" s="51">
        <f t="shared" si="1"/>
        <v>74</v>
      </c>
      <c r="C80" s="60"/>
      <c r="D80" s="64"/>
      <c r="E80" s="59" t="s">
        <v>91</v>
      </c>
      <c r="F80" s="43"/>
      <c r="G80" s="43" t="s">
        <v>111</v>
      </c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20.25" customHeight="1" x14ac:dyDescent="0.3">
      <c r="B81" s="51">
        <f t="shared" si="1"/>
        <v>75</v>
      </c>
      <c r="C81" s="60"/>
      <c r="D81" s="64"/>
      <c r="E81" s="59" t="s">
        <v>92</v>
      </c>
      <c r="F81" s="43" t="s">
        <v>111</v>
      </c>
      <c r="G81" s="25"/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20.25" customHeight="1" x14ac:dyDescent="0.3">
      <c r="B82" s="51">
        <f t="shared" si="1"/>
        <v>76</v>
      </c>
      <c r="C82" s="60"/>
      <c r="D82" s="64"/>
      <c r="E82" s="59" t="s">
        <v>89</v>
      </c>
      <c r="F82" s="43" t="s">
        <v>111</v>
      </c>
      <c r="G82" s="25"/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20.25" customHeight="1" x14ac:dyDescent="0.3">
      <c r="B83" s="51">
        <f t="shared" si="1"/>
        <v>77</v>
      </c>
      <c r="C83" s="60"/>
      <c r="D83" s="73" t="s">
        <v>94</v>
      </c>
      <c r="E83" s="59" t="s">
        <v>165</v>
      </c>
      <c r="F83" s="43" t="s">
        <v>111</v>
      </c>
      <c r="G83" s="25"/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20.25" customHeight="1" x14ac:dyDescent="0.3">
      <c r="B84" s="51">
        <f t="shared" si="1"/>
        <v>78</v>
      </c>
      <c r="C84" s="60"/>
      <c r="D84" s="64"/>
      <c r="E84" s="59" t="s">
        <v>166</v>
      </c>
      <c r="F84" s="43" t="s">
        <v>111</v>
      </c>
      <c r="G84" s="25"/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20.25" customHeight="1" x14ac:dyDescent="0.3">
      <c r="B85" s="51">
        <f t="shared" si="1"/>
        <v>79</v>
      </c>
      <c r="C85" s="60"/>
      <c r="D85" s="64"/>
      <c r="E85" s="74" t="s">
        <v>100</v>
      </c>
      <c r="F85" s="43" t="s">
        <v>111</v>
      </c>
      <c r="G85" s="43"/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20.25" customHeight="1" x14ac:dyDescent="0.3">
      <c r="B86" s="51">
        <f t="shared" si="1"/>
        <v>80</v>
      </c>
      <c r="C86" s="62"/>
      <c r="D86" s="63"/>
      <c r="E86" s="59" t="s">
        <v>99</v>
      </c>
      <c r="F86" s="43"/>
      <c r="G86" s="43" t="s">
        <v>111</v>
      </c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20.25" customHeight="1" x14ac:dyDescent="0.3">
      <c r="B87" s="51">
        <f t="shared" si="1"/>
        <v>81</v>
      </c>
      <c r="C87" s="62"/>
      <c r="D87" s="63"/>
      <c r="E87" s="59" t="s">
        <v>97</v>
      </c>
      <c r="F87" s="43" t="s">
        <v>111</v>
      </c>
      <c r="G87" s="25"/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20.25" customHeight="1" x14ac:dyDescent="0.3">
      <c r="B88" s="51">
        <f t="shared" si="1"/>
        <v>82</v>
      </c>
      <c r="C88" s="62"/>
      <c r="D88" s="63"/>
      <c r="E88" s="59" t="s">
        <v>167</v>
      </c>
      <c r="F88" s="43" t="s">
        <v>111</v>
      </c>
      <c r="G88" s="25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20.25" customHeight="1" x14ac:dyDescent="0.3">
      <c r="B89" s="75" t="s">
        <v>101</v>
      </c>
      <c r="C89" s="76"/>
      <c r="D89" s="76"/>
      <c r="E89" s="77"/>
      <c r="F89" s="52">
        <f>COUNTIF(F5:F88,"P")</f>
        <v>74</v>
      </c>
      <c r="G89" s="52">
        <f>COUNTIF(G5:G88,"P")</f>
        <v>8</v>
      </c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7.5" customHeight="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20.25" hidden="1" customHeight="1" x14ac:dyDescent="0.3">
      <c r="B91" s="3"/>
      <c r="C91" s="30" t="s">
        <v>102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8.75" customHeight="1" x14ac:dyDescent="0.3">
      <c r="B92" s="3"/>
      <c r="F92" s="3"/>
      <c r="G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9.5" customHeight="1" x14ac:dyDescent="0.3">
      <c r="B93" s="3"/>
      <c r="F93" s="3"/>
      <c r="G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21" customHeight="1" x14ac:dyDescent="0.3">
      <c r="B94" s="3"/>
      <c r="F94" s="3"/>
      <c r="G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20.25" customHeight="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20.25" customHeight="1" x14ac:dyDescent="0.3">
      <c r="B96" s="3"/>
      <c r="C96" s="31"/>
      <c r="D96" s="32" t="s">
        <v>103</v>
      </c>
      <c r="E96" s="31" t="s">
        <v>104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20.25" customHeight="1" x14ac:dyDescent="0.3">
      <c r="B97" s="3"/>
      <c r="C97" s="3" t="s">
        <v>105</v>
      </c>
      <c r="D97" s="78"/>
      <c r="E97" s="7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20.25" customHeight="1" x14ac:dyDescent="0.3">
      <c r="B98" s="3"/>
      <c r="C98" s="31" t="s">
        <v>106</v>
      </c>
      <c r="D98" s="78" t="s">
        <v>170</v>
      </c>
      <c r="E98" s="7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20.25" customHeight="1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20.25" customHeight="1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20.25" customHeight="1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20.25" customHeight="1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20.25" customHeight="1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20.25" customHeight="1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20.25" customHeight="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20.25" customHeight="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20.25" customHeight="1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20.25" customHeight="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20.25" customHeight="1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20.25" customHeigh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20.25" customHeigh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20.25" customHeight="1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20.25" customHeight="1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20.25" customHeight="1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20.25" customHeight="1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20.25" customHeight="1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20.25" customHeight="1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20.25" customHeight="1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20.25" customHeight="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20.25" customHeight="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20.25" customHeight="1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20.25" customHeigh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20.25" customHeight="1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20.25" customHeight="1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0.25" customHeight="1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20.25" customHeight="1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20.25" customHeight="1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20.25" customHeight="1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20.25" customHeight="1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20.25" customHeight="1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20.25" customHeight="1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20.25" customHeight="1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20.25" customHeight="1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20.25" customHeight="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20.25" customHeight="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20.25" customHeight="1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20.25" customHeight="1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20.25" customHeight="1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20.25" customHeight="1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20.25" customHeight="1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20.25" customHeigh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20.25" customHeigh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20.25" customHeight="1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20.25" customHeight="1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20.25" customHeight="1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20.25" customHeight="1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20.25" customHeight="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20.25" customHeight="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20.25" customHeight="1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20.25" customHeight="1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20.25" customHeight="1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20.25" customHeight="1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20.25" customHeigh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20.25" customHeigh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20.25" customHeigh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20.25" customHeight="1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20.25" customHeigh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20.25" customHeigh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20.25" customHeigh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20.25" customHeigh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20.25" customHeigh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20.25" customHeigh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20.25" customHeigh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20.25" customHeigh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20.25" customHeigh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20.25" customHeigh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20.25" customHeigh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20.25" customHeigh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20.25" customHeigh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20.25" customHeigh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20.25" customHeigh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20.25" customHeigh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20.25" customHeigh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20.25" customHeigh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20.25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20.25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20.25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20.25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20.25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20.25" customHeigh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20.25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20.25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20.25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20.25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20.25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20.25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20.25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20.25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20.25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20.25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20.25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20.25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20.25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20.25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20.25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20.25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20.25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20.25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20.25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20.25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20.25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20.25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20.25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20.25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20.25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20.25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20.25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20.25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20.25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20.25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20.25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20.25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20.25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20.25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20.25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20.25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20.25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20.25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20.25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20.25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20.25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20.25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20.25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20.25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20.25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20.25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20.25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20.25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20.25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20.25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20.25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20.25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20.25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20.25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20.25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20.25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20.25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20.25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20.25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20.25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20.25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20.25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20.25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20.25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20.25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20.25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20.25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20.25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20.25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20.25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20.25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20.25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20.25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20.25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20.25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20.25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20.25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20.25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20.25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20.25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20.25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20.25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20.25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20.25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20.25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20.25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20.25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20.25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20.25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20.25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20.25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20.25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20.25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20.25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20.25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20.25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20.25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20.25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20.25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20.25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20.25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20.25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20.25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20.25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20.25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20.25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20.25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20.25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20.25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20.25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20.25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20.25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20.25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20.25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20.25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20.25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20.25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20.25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20.25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20.25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20.25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20.25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20.25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20.25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20.25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20.25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20.25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20.25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20.25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20.25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20.25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20.25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20.25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20.25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20.25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20.25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20.25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20.25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20.25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20.25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20.25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20.25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20.25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20.25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20.25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20.25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20.25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20.25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20.25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20.25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20.25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20.25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20.25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20.25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20.25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20.25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20.25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20.25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20.25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20.25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20.25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20.25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20.25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20.25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20.25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20.25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20.25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20.25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20.25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20.25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20.25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20.25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20.25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20.25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20.25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20.25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20.25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20.25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20.25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20.25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20.25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20.25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20.25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20.25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20.25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20.25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20.25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20.25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20.25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20.25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20.25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20.25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20.25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20.25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20.25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20.25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20.25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20.25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20.25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20.25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20.25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20.25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20.25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20.25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20.25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20.25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20.25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20.25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20.25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20.25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20.25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20.25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20.25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20.25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20.25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20.25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20.25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20.25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20.25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20.25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20.25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20.25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20.25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20.25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20.25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20.25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20.25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20.25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20.25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20.25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20.25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20.25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20.25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20.25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20.25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20.25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20.25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20.25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20.25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20.25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20.25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20.25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20.25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20.25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20.25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20.25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20.25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20.25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20.25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20.25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20.25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20.25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20.25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20.25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20.25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20.25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20.25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20.25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20.25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20.25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20.25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20.25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20.25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20.25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20.25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20.25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20.25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20.25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20.25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20.25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20.25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20.25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20.25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20.25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20.25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20.25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20.25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20.25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20.25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20.25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20.25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20.25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20.25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20.25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20.25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20.25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20.25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20.25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20.25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20.25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20.25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20.25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20.25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20.25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20.25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20.25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20.25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20.25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20.25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20.25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20.25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20.25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20.25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20.25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20.25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20.25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20.25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20.25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20.25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20.25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20.25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20.25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20.25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20.25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20.25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20.25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20.25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20.25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20.25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20.25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20.25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20.25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20.25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20.25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20.25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20.25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20.25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20.25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20.25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20.25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20.25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20.25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20.25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20.25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20.25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20.25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20.25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20.25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20.25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20.25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20.25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20.25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20.25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20.25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20.25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20.25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20.25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20.25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20.25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20.25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20.25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20.25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20.25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20.25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20.25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20.25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20.25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20.25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20.25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20.25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20.25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20.25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20.25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20.25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20.25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20.25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20.25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20.25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20.25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20.25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20.25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20.25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20.25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20.25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20.25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20.25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20.25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20.25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20.25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20.25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20.25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20.25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20.25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20.25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20.25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20.25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20.25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20.25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20.25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20.25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20.25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20.25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20.25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20.25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20.25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20.25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20.25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20.25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20.25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20.25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20.25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20.25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20.25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20.25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20.25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20.25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20.25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20.25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20.25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20.25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20.25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20.25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20.25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20.25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20.25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20.25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20.25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20.25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20.25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20.25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20.25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20.25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20.25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20.25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20.25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20.25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20.25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20.25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20.25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20.25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20.25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20.25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20.25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20.25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20.25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20.25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20.25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20.25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20.25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20.25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20.25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20.25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20.25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20.25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20.25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20.25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20.25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20.25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20.25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20.25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20.25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20.25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20.25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20.25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20.25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20.25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20.25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20.25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20.25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20.25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20.25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20.25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20.25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20.25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20.25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20.25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20.25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20.25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20.25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20.25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20.25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20.25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20.25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20.25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20.25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20.25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20.25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20.25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20.25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20.25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20.25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20.25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20.25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20.25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20.25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20.25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20.25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20.25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20.25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20.25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20.25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20.25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20.25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20.25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20.25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20.25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20.25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20.25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20.25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20.25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20.25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20.25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20.25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20.25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20.25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20.25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20.25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20.25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20.25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20.25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20.25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20.25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20.25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20.25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20.25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20.25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20.25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20.25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20.25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20.25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20.25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20.25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20.25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20.25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20.25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20.25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20.25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20.25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20.25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20.25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20.25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20.25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20.25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20.25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20.25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20.25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20.25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20.25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20.25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20.25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20.25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20.25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20.25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20.25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20.25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20.25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20.25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20.25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20.25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20.25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20.25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20.25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20.25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20.25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20.25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20.25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20.25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20.25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20.25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20.25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20.25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20.25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20.25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20.25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20.25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20.25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20.25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20.25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20.25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20.25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20.25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20.25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20.25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20.25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20.25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20.25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20.25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20.25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20.25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20.25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20.25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20.25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20.25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20.25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20.25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20.25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20.25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20.25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20.25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20.25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20.25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20.25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20.25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20.25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20.25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20.25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20.25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20.25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20.25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20.25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20.25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20.25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20.25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20.25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20.25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20.25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20.25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20.25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20.25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20.25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20.25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20.25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20.25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20.25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20.25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20.25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20.25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20.25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20.25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20.25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20.25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20.25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20.25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20.25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20.25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20.25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20.25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20.25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20.25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20.25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20.25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20.25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20.25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20.25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20.25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20.25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20.25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20.25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20.25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20.25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20.25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20.25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20.25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20.25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20.25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20.25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20.25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20.25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20.25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20.25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20.25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20.25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20.25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20.25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20.25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20.25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20.25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20.25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20.25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20.25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20.25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20.25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20.25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20.25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20.25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20.25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20.25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20.25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20.25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20.25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20.25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20.25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20.25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20.25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20.25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20.25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20.25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20.25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20.25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20.25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20.25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20.25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20.25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20.25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20.25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20.25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20.25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20.25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20.25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20.25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20.25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20.25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20.25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20.25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20.25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20.25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20.25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20.25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20.25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20.25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20.25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20.25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20.25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20.25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20.25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20.25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20.25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20.25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20.25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20.25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20.25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20.25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20.25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20.25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20.25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20.25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20.25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20.25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20.25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20.25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20.25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20.25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20.25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20.25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20.25" customHeigh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20.25" customHeigh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20.25" customHeigh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20.25" customHeigh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20.25" customHeigh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20.25" customHeigh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20.25" customHeigh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20.25" customHeigh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20.25" customHeigh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20.25" customHeigh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20.25" customHeigh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20.25" customHeigh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20.25" customHeigh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20.25" customHeigh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20.25" customHeigh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20.25" customHeigh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20.25" customHeigh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20.25" customHeigh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20.25" customHeigh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20.25" customHeigh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20.25" customHeigh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20.25" customHeigh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20.25" customHeigh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20.25" customHeigh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20.25" customHeigh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20.25" customHeigh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20.25" customHeigh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20.25" customHeigh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20.25" customHeigh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20.25" customHeigh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20.25" customHeigh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20.25" customHeigh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20.25" customHeigh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20.25" customHeigh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20.25" customHeigh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20.25" customHeigh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20.25" customHeigh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20.25" customHeigh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20.25" customHeigh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20.25" customHeigh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20.25" customHeigh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20.25" customHeigh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20.25" customHeigh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20.25" customHeigh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20.25" customHeigh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20.25" customHeigh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20.25" customHeigh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20.25" customHeigh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20.25" customHeigh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20.25" customHeigh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20.25" customHeigh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20.25" customHeigh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20.25" customHeigh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20.25" customHeigh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20.25" customHeigh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20.25" customHeigh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20.25" customHeigh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20.25" customHeigh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20.25" customHeigh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20.25" customHeigh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20.25" customHeigh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20.25" customHeigh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20.25" customHeigh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20.25" customHeigh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20.25" customHeigh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20.25" customHeigh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20.25" customHeigh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20.25" customHeigh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20.25" customHeigh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20.25" customHeigh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20.25" customHeigh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20.25" customHeigh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20.25" customHeigh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20.25" customHeigh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20.25" customHeigh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20.25" customHeigh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20.25" customHeigh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20.25" customHeigh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20.25" customHeigh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20.25" customHeigh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20.25" customHeigh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20.25" customHeigh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20.25" customHeigh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20.25" customHeigh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20.25" customHeigh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20.25" customHeigh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20.25" customHeigh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20.25" customHeigh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20.25" customHeigh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20.25" customHeigh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20.25" customHeigh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20.25" customHeigh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20.25" customHeight="1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20.25" customHeight="1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20.25" customHeight="1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20.25" customHeight="1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20.25" customHeight="1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20.25" customHeight="1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20.25" customHeight="1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20.25" customHeight="1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20.25" customHeight="1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20.25" customHeight="1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2:27" ht="20.25" customHeight="1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2:27" ht="20.25" customHeight="1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2:27" ht="20.25" customHeight="1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2:27" ht="20.25" customHeight="1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2:27" ht="20.25" customHeight="1" x14ac:dyDescent="0.3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2:27" ht="20.25" customHeight="1" x14ac:dyDescent="0.3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2:27" ht="20.25" customHeight="1" x14ac:dyDescent="0.3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2:27" ht="20.25" customHeight="1" x14ac:dyDescent="0.3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2:27" ht="20.25" customHeight="1" x14ac:dyDescent="0.3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2:27" ht="20.25" customHeight="1" x14ac:dyDescent="0.3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2:27" ht="20.25" customHeight="1" x14ac:dyDescent="0.3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2:27" ht="20.25" customHeight="1" x14ac:dyDescent="0.3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2:27" ht="20.25" customHeight="1" x14ac:dyDescent="0.3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2:27" ht="20.25" customHeight="1" x14ac:dyDescent="0.3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2:27" ht="20.25" customHeight="1" x14ac:dyDescent="0.3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2:27" ht="20.25" customHeight="1" x14ac:dyDescent="0.3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2:27" ht="20.25" customHeight="1" x14ac:dyDescent="0.3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2:27" ht="20.25" customHeight="1" x14ac:dyDescent="0.3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2:27" ht="20.25" customHeight="1" x14ac:dyDescent="0.3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2:27" ht="20.25" customHeight="1" x14ac:dyDescent="0.3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2:27" ht="20.25" customHeight="1" x14ac:dyDescent="0.3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2:27" ht="20.25" customHeight="1" x14ac:dyDescent="0.3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2:27" ht="20.25" customHeight="1" x14ac:dyDescent="0.3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2:27" ht="20.25" customHeight="1" x14ac:dyDescent="0.3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2:27" ht="20.25" customHeight="1" x14ac:dyDescent="0.3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2:27" ht="20.25" customHeight="1" x14ac:dyDescent="0.3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2:27" ht="20.25" customHeight="1" x14ac:dyDescent="0.3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2:27" ht="20.25" customHeight="1" x14ac:dyDescent="0.3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2:27" ht="20.25" customHeight="1" x14ac:dyDescent="0.3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2:27" ht="20.25" customHeight="1" x14ac:dyDescent="0.3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2:27" ht="20.25" customHeight="1" x14ac:dyDescent="0.3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2:27" ht="20.25" customHeight="1" x14ac:dyDescent="0.3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2:27" ht="20.25" customHeight="1" x14ac:dyDescent="0.3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2:27" ht="20.25" customHeight="1" x14ac:dyDescent="0.3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2:27" ht="20.25" customHeight="1" x14ac:dyDescent="0.3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2:27" ht="20.25" customHeight="1" x14ac:dyDescent="0.3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2:27" ht="20.25" customHeight="1" x14ac:dyDescent="0.3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2:27" ht="20.25" customHeight="1" x14ac:dyDescent="0.3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2:27" ht="20.25" customHeight="1" x14ac:dyDescent="0.3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2:27" ht="20.25" customHeight="1" x14ac:dyDescent="0.3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2:27" ht="20.25" customHeight="1" x14ac:dyDescent="0.3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2:27" ht="20.25" customHeight="1" x14ac:dyDescent="0.3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2:27" ht="20.25" customHeight="1" x14ac:dyDescent="0.3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2:27" ht="20.25" customHeight="1" x14ac:dyDescent="0.3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2:27" ht="20.25" customHeight="1" x14ac:dyDescent="0.3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2:27" ht="20.25" customHeight="1" x14ac:dyDescent="0.3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2:27" ht="20.25" customHeight="1" x14ac:dyDescent="0.3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2:27" ht="20.25" customHeight="1" x14ac:dyDescent="0.3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2:27" ht="20.25" customHeight="1" x14ac:dyDescent="0.3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2:27" ht="20.25" customHeight="1" x14ac:dyDescent="0.3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2:27" ht="20.25" customHeight="1" x14ac:dyDescent="0.3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2:27" ht="20.25" customHeight="1" x14ac:dyDescent="0.3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2:27" ht="20.25" customHeight="1" x14ac:dyDescent="0.3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2:27" ht="20.25" customHeight="1" x14ac:dyDescent="0.3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2:27" ht="20.25" customHeight="1" x14ac:dyDescent="0.3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2:27" ht="20.25" customHeight="1" x14ac:dyDescent="0.3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2:27" ht="20.25" customHeight="1" x14ac:dyDescent="0.3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2:27" ht="20.25" customHeight="1" x14ac:dyDescent="0.3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2:27" ht="20.25" customHeight="1" x14ac:dyDescent="0.3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2:27" ht="20.25" customHeight="1" x14ac:dyDescent="0.3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2:27" ht="20.25" customHeight="1" x14ac:dyDescent="0.3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2:27" ht="20.25" customHeight="1" x14ac:dyDescent="0.3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2:27" ht="20.25" customHeight="1" x14ac:dyDescent="0.3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2:27" ht="20.25" customHeight="1" x14ac:dyDescent="0.3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2:27" ht="20.25" customHeight="1" x14ac:dyDescent="0.3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</sheetData>
  <mergeCells count="10">
    <mergeCell ref="B89:E89"/>
    <mergeCell ref="D97:E97"/>
    <mergeCell ref="D98:E98"/>
    <mergeCell ref="H3:H4"/>
    <mergeCell ref="B1:H1"/>
    <mergeCell ref="B3:B4"/>
    <mergeCell ref="C3:C4"/>
    <mergeCell ref="D3:D4"/>
    <mergeCell ref="E3:E4"/>
    <mergeCell ref="F3:G3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F322-4DE5-4663-9C3D-97B86040D83E}">
  <dimension ref="B1:AA1071"/>
  <sheetViews>
    <sheetView tabSelected="1" topLeftCell="A4" zoomScaleNormal="100" workbookViewId="0">
      <selection activeCell="F29" sqref="F29"/>
    </sheetView>
  </sheetViews>
  <sheetFormatPr defaultColWidth="12.625" defaultRowHeight="15" x14ac:dyDescent="0.25"/>
  <cols>
    <col min="1" max="1" width="1.375" style="1" customWidth="1"/>
    <col min="2" max="2" width="5.5" style="1" customWidth="1"/>
    <col min="3" max="3" width="12.75" style="1" customWidth="1"/>
    <col min="4" max="4" width="11.75" style="1" customWidth="1"/>
    <col min="5" max="5" width="27.25" style="1" bestFit="1" customWidth="1"/>
    <col min="6" max="6" width="23.5" style="1" customWidth="1"/>
    <col min="7" max="7" width="22.5" style="1" customWidth="1"/>
    <col min="8" max="8" width="15" style="1" customWidth="1"/>
    <col min="9" max="10" width="22.5" style="1" customWidth="1"/>
    <col min="11" max="27" width="7.625" style="1" customWidth="1"/>
    <col min="28" max="16384" width="12.625" style="1"/>
  </cols>
  <sheetData>
    <row r="1" spans="2:27" ht="20.25" customHeight="1" x14ac:dyDescent="0.3">
      <c r="B1" s="79" t="s">
        <v>168</v>
      </c>
      <c r="C1" s="80"/>
      <c r="D1" s="80"/>
      <c r="E1" s="80"/>
      <c r="F1" s="80"/>
      <c r="G1" s="80"/>
      <c r="H1" s="80"/>
      <c r="I1" s="2"/>
      <c r="J1" s="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7.5" customHeight="1" x14ac:dyDescent="0.3">
      <c r="B2" s="4"/>
      <c r="C2" s="4"/>
      <c r="D2" s="4"/>
      <c r="F2" s="4"/>
      <c r="G2" s="4"/>
      <c r="H2" s="4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23.25" customHeight="1" x14ac:dyDescent="0.3">
      <c r="B3" s="81" t="s">
        <v>0</v>
      </c>
      <c r="C3" s="81" t="s">
        <v>1</v>
      </c>
      <c r="D3" s="81" t="s">
        <v>2</v>
      </c>
      <c r="E3" s="81" t="s">
        <v>3</v>
      </c>
      <c r="F3" s="83" t="s">
        <v>115</v>
      </c>
      <c r="G3" s="84"/>
      <c r="H3" s="81" t="s">
        <v>5</v>
      </c>
      <c r="I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2:27" ht="54" customHeight="1" x14ac:dyDescent="0.3">
      <c r="B4" s="82"/>
      <c r="C4" s="82"/>
      <c r="D4" s="82"/>
      <c r="E4" s="82"/>
      <c r="F4" s="44" t="s">
        <v>169</v>
      </c>
      <c r="G4" s="40" t="s">
        <v>114</v>
      </c>
      <c r="H4" s="85"/>
      <c r="I4" s="7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2:27" ht="20.25" customHeight="1" x14ac:dyDescent="0.3">
      <c r="B5" s="8">
        <f>ROW(A1)</f>
        <v>1</v>
      </c>
      <c r="C5" s="53" t="s">
        <v>7</v>
      </c>
      <c r="D5" s="54" t="s">
        <v>8</v>
      </c>
      <c r="E5" s="12" t="s">
        <v>9</v>
      </c>
      <c r="F5" s="43" t="s">
        <v>111</v>
      </c>
      <c r="G5" s="8"/>
      <c r="H5" s="10"/>
      <c r="I5" s="7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2:27" ht="20.25" customHeight="1" x14ac:dyDescent="0.3">
      <c r="B6" s="8">
        <f t="shared" ref="B6:B44" si="0">ROW(A2)</f>
        <v>2</v>
      </c>
      <c r="C6" s="53"/>
      <c r="D6" s="55"/>
      <c r="E6" s="56" t="s">
        <v>117</v>
      </c>
      <c r="F6" s="43" t="s">
        <v>111</v>
      </c>
      <c r="G6" s="25"/>
      <c r="H6" s="15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2:27" ht="20.25" customHeight="1" x14ac:dyDescent="0.3">
      <c r="B7" s="8">
        <f t="shared" si="0"/>
        <v>3</v>
      </c>
      <c r="C7" s="57"/>
      <c r="D7" s="58"/>
      <c r="E7" s="59" t="s">
        <v>118</v>
      </c>
      <c r="F7" s="43" t="s">
        <v>111</v>
      </c>
      <c r="G7" s="25"/>
      <c r="H7" s="15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2:27" ht="20.25" customHeight="1" x14ac:dyDescent="0.3">
      <c r="B8" s="8">
        <f t="shared" si="0"/>
        <v>4</v>
      </c>
      <c r="C8" s="57"/>
      <c r="D8" s="58"/>
      <c r="E8" s="59" t="s">
        <v>119</v>
      </c>
      <c r="F8" s="43" t="s">
        <v>111</v>
      </c>
      <c r="G8" s="41"/>
      <c r="H8" s="15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2:27" ht="20.25" customHeight="1" x14ac:dyDescent="0.3">
      <c r="B9" s="8">
        <f t="shared" si="0"/>
        <v>5</v>
      </c>
      <c r="C9" s="57"/>
      <c r="D9" s="58"/>
      <c r="E9" s="59" t="s">
        <v>120</v>
      </c>
      <c r="F9" s="43" t="s">
        <v>111</v>
      </c>
      <c r="G9" s="43"/>
      <c r="H9" s="1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2:27" ht="20.25" customHeight="1" x14ac:dyDescent="0.3">
      <c r="B10" s="8">
        <f t="shared" si="0"/>
        <v>6</v>
      </c>
      <c r="C10" s="57"/>
      <c r="D10" s="58"/>
      <c r="E10" s="59" t="s">
        <v>121</v>
      </c>
      <c r="F10" s="43"/>
      <c r="G10" s="43" t="s">
        <v>111</v>
      </c>
      <c r="H10" s="15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2:27" ht="20.25" customHeight="1" x14ac:dyDescent="0.3">
      <c r="B11" s="8">
        <f t="shared" si="0"/>
        <v>7</v>
      </c>
      <c r="C11" s="57"/>
      <c r="D11" s="58"/>
      <c r="E11" s="59" t="s">
        <v>122</v>
      </c>
      <c r="F11" s="43"/>
      <c r="G11" s="43" t="s">
        <v>111</v>
      </c>
      <c r="H11" s="15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2:27" ht="20.25" customHeight="1" x14ac:dyDescent="0.3">
      <c r="B12" s="8">
        <f t="shared" si="0"/>
        <v>8</v>
      </c>
      <c r="C12" s="57"/>
      <c r="D12" s="58"/>
      <c r="E12" s="59" t="s">
        <v>123</v>
      </c>
      <c r="F12" s="43" t="s">
        <v>111</v>
      </c>
      <c r="G12" s="25"/>
      <c r="H12" s="15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2:27" ht="20.25" customHeight="1" x14ac:dyDescent="0.3">
      <c r="B13" s="8">
        <f t="shared" si="0"/>
        <v>9</v>
      </c>
      <c r="C13" s="57"/>
      <c r="D13" s="58"/>
      <c r="E13" s="59" t="s">
        <v>124</v>
      </c>
      <c r="F13" s="43" t="s">
        <v>111</v>
      </c>
      <c r="G13" s="25"/>
      <c r="H13" s="15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2:27" ht="20.25" customHeight="1" x14ac:dyDescent="0.3">
      <c r="B14" s="8">
        <f t="shared" si="0"/>
        <v>10</v>
      </c>
      <c r="C14" s="57"/>
      <c r="D14" s="58"/>
      <c r="E14" s="59" t="s">
        <v>125</v>
      </c>
      <c r="F14" s="43"/>
      <c r="G14" s="43" t="s">
        <v>111</v>
      </c>
      <c r="H14" s="15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2:27" ht="20.25" customHeight="1" x14ac:dyDescent="0.3">
      <c r="B15" s="8">
        <f t="shared" si="0"/>
        <v>11</v>
      </c>
      <c r="C15" s="57"/>
      <c r="D15" s="58"/>
      <c r="E15" s="59" t="s">
        <v>126</v>
      </c>
      <c r="F15" s="43"/>
      <c r="G15" s="43" t="s">
        <v>111</v>
      </c>
      <c r="H15" s="15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2:27" ht="20.25" customHeight="1" x14ac:dyDescent="0.3">
      <c r="B16" s="8">
        <f t="shared" si="0"/>
        <v>12</v>
      </c>
      <c r="C16" s="57"/>
      <c r="D16" s="58"/>
      <c r="E16" s="59" t="s">
        <v>23</v>
      </c>
      <c r="F16" s="43"/>
      <c r="G16" s="43" t="s">
        <v>111</v>
      </c>
      <c r="H16" s="15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2:27" ht="20.25" customHeight="1" x14ac:dyDescent="0.3">
      <c r="B17" s="8">
        <f t="shared" si="0"/>
        <v>13</v>
      </c>
      <c r="C17" s="60"/>
      <c r="D17" s="61"/>
      <c r="E17" s="59" t="s">
        <v>127</v>
      </c>
      <c r="F17" s="43"/>
      <c r="G17" s="43" t="s">
        <v>111</v>
      </c>
      <c r="H17" s="2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2:27" ht="20.25" customHeight="1" x14ac:dyDescent="0.3">
      <c r="B18" s="8">
        <f t="shared" si="0"/>
        <v>14</v>
      </c>
      <c r="C18" s="60"/>
      <c r="D18" s="61"/>
      <c r="E18" s="59" t="s">
        <v>22</v>
      </c>
      <c r="F18" s="43"/>
      <c r="G18" s="43" t="s">
        <v>111</v>
      </c>
      <c r="H18" s="2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2:27" ht="20.25" customHeight="1" x14ac:dyDescent="0.3">
      <c r="B19" s="8">
        <f t="shared" si="0"/>
        <v>15</v>
      </c>
      <c r="C19" s="62"/>
      <c r="D19" s="63"/>
      <c r="E19" s="59" t="s">
        <v>24</v>
      </c>
      <c r="F19" s="43"/>
      <c r="G19" s="43" t="s">
        <v>111</v>
      </c>
      <c r="H19" s="2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2:27" ht="20.25" customHeight="1" x14ac:dyDescent="0.3">
      <c r="B20" s="8">
        <f t="shared" si="0"/>
        <v>16</v>
      </c>
      <c r="C20" s="62"/>
      <c r="D20" s="64" t="s">
        <v>25</v>
      </c>
      <c r="E20" s="59" t="s">
        <v>128</v>
      </c>
      <c r="F20" s="43"/>
      <c r="G20" s="43" t="s">
        <v>111</v>
      </c>
      <c r="H20" s="2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2:27" ht="20.25" customHeight="1" x14ac:dyDescent="0.3">
      <c r="B21" s="8">
        <f t="shared" si="0"/>
        <v>17</v>
      </c>
      <c r="C21" s="62"/>
      <c r="D21" s="65"/>
      <c r="E21" s="59" t="s">
        <v>129</v>
      </c>
      <c r="F21" s="43"/>
      <c r="G21" s="43" t="s">
        <v>111</v>
      </c>
      <c r="H21" s="2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2:27" ht="20.25" customHeight="1" x14ac:dyDescent="0.3">
      <c r="B22" s="8">
        <f t="shared" si="0"/>
        <v>18</v>
      </c>
      <c r="C22" s="62"/>
      <c r="D22" s="65"/>
      <c r="E22" s="59" t="s">
        <v>130</v>
      </c>
      <c r="F22" s="43"/>
      <c r="G22" s="43" t="s">
        <v>111</v>
      </c>
      <c r="H22" s="2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2:27" ht="20.25" customHeight="1" x14ac:dyDescent="0.3">
      <c r="B23" s="8">
        <f t="shared" si="0"/>
        <v>19</v>
      </c>
      <c r="C23" s="62"/>
      <c r="D23" s="65"/>
      <c r="E23" s="59" t="s">
        <v>131</v>
      </c>
      <c r="F23" s="43"/>
      <c r="G23" s="43" t="s">
        <v>111</v>
      </c>
      <c r="H23" s="2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2:27" ht="20.25" customHeight="1" x14ac:dyDescent="0.3">
      <c r="B24" s="8">
        <f t="shared" si="0"/>
        <v>20</v>
      </c>
      <c r="C24" s="62"/>
      <c r="D24" s="65"/>
      <c r="E24" s="59" t="s">
        <v>132</v>
      </c>
      <c r="F24" s="43"/>
      <c r="G24" s="43" t="s">
        <v>111</v>
      </c>
      <c r="H24" s="2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2:27" ht="20.25" customHeight="1" x14ac:dyDescent="0.3">
      <c r="B25" s="8">
        <f t="shared" si="0"/>
        <v>21</v>
      </c>
      <c r="C25" s="62"/>
      <c r="D25" s="65"/>
      <c r="E25" s="59" t="s">
        <v>133</v>
      </c>
      <c r="F25" s="36"/>
      <c r="G25" s="43" t="s">
        <v>111</v>
      </c>
      <c r="H25" s="2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2:27" ht="20.25" customHeight="1" x14ac:dyDescent="0.3">
      <c r="B26" s="8">
        <f t="shared" si="0"/>
        <v>22</v>
      </c>
      <c r="C26" s="62"/>
      <c r="D26" s="65"/>
      <c r="E26" s="59" t="s">
        <v>134</v>
      </c>
      <c r="F26" s="36"/>
      <c r="G26" s="43" t="s">
        <v>111</v>
      </c>
      <c r="H26" s="2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2:27" ht="20.25" customHeight="1" x14ac:dyDescent="0.3">
      <c r="B27" s="8">
        <f t="shared" si="0"/>
        <v>23</v>
      </c>
      <c r="C27" s="62"/>
      <c r="D27" s="65"/>
      <c r="E27" s="59" t="s">
        <v>36</v>
      </c>
      <c r="F27" s="36"/>
      <c r="G27" s="43" t="s">
        <v>111</v>
      </c>
      <c r="H27" s="2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2:27" ht="20.25" customHeight="1" x14ac:dyDescent="0.3">
      <c r="B28" s="8">
        <f t="shared" si="0"/>
        <v>24</v>
      </c>
      <c r="C28" s="62"/>
      <c r="D28" s="65"/>
      <c r="E28" s="59" t="s">
        <v>37</v>
      </c>
      <c r="F28" s="36"/>
      <c r="G28" s="43" t="s">
        <v>111</v>
      </c>
      <c r="H28" s="2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2:27" ht="20.25" customHeight="1" x14ac:dyDescent="0.3">
      <c r="B29" s="8">
        <f t="shared" si="0"/>
        <v>25</v>
      </c>
      <c r="C29" s="62"/>
      <c r="D29" s="65"/>
      <c r="E29" s="59" t="s">
        <v>34</v>
      </c>
      <c r="F29" s="43" t="s">
        <v>111</v>
      </c>
      <c r="G29" s="43"/>
      <c r="H29" s="2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2:27" ht="20.25" customHeight="1" x14ac:dyDescent="0.3">
      <c r="B30" s="8">
        <f t="shared" si="0"/>
        <v>26</v>
      </c>
      <c r="C30" s="62"/>
      <c r="D30" s="65"/>
      <c r="E30" s="59" t="s">
        <v>35</v>
      </c>
      <c r="F30" s="43"/>
      <c r="G30" s="43" t="s">
        <v>111</v>
      </c>
      <c r="H30" s="2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2:27" ht="20.25" customHeight="1" x14ac:dyDescent="0.3">
      <c r="B31" s="8">
        <f t="shared" si="0"/>
        <v>27</v>
      </c>
      <c r="C31" s="62"/>
      <c r="D31" s="65"/>
      <c r="E31" s="59" t="s">
        <v>33</v>
      </c>
      <c r="F31" s="36"/>
      <c r="G31" s="43" t="s">
        <v>111</v>
      </c>
      <c r="H31" s="2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2:27" ht="20.25" customHeight="1" x14ac:dyDescent="0.3">
      <c r="B32" s="8">
        <f t="shared" si="0"/>
        <v>28</v>
      </c>
      <c r="C32" s="62"/>
      <c r="D32" s="64" t="s">
        <v>38</v>
      </c>
      <c r="E32" s="59" t="s">
        <v>135</v>
      </c>
      <c r="F32" s="43" t="s">
        <v>111</v>
      </c>
      <c r="G32" s="25"/>
      <c r="H32" s="2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2:27" ht="20.25" customHeight="1" x14ac:dyDescent="0.3">
      <c r="B33" s="8">
        <f t="shared" si="0"/>
        <v>29</v>
      </c>
      <c r="C33" s="62"/>
      <c r="D33" s="65"/>
      <c r="E33" s="59" t="s">
        <v>136</v>
      </c>
      <c r="F33" s="43" t="s">
        <v>111</v>
      </c>
      <c r="G33" s="43"/>
      <c r="H33" s="2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2:27" ht="20.25" customHeight="1" x14ac:dyDescent="0.3">
      <c r="B34" s="8">
        <f t="shared" si="0"/>
        <v>30</v>
      </c>
      <c r="C34" s="62"/>
      <c r="D34" s="65"/>
      <c r="E34" s="59" t="s">
        <v>137</v>
      </c>
      <c r="F34" s="43"/>
      <c r="G34" s="43" t="s">
        <v>111</v>
      </c>
      <c r="H34" s="2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2:27" ht="20.25" customHeight="1" x14ac:dyDescent="0.3">
      <c r="B35" s="8">
        <f t="shared" si="0"/>
        <v>31</v>
      </c>
      <c r="C35" s="62"/>
      <c r="D35" s="65"/>
      <c r="E35" s="59" t="s">
        <v>138</v>
      </c>
      <c r="F35" s="43"/>
      <c r="G35" s="43" t="s">
        <v>111</v>
      </c>
      <c r="H35" s="2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2:27" ht="20.25" customHeight="1" x14ac:dyDescent="0.3">
      <c r="B36" s="8">
        <f t="shared" si="0"/>
        <v>32</v>
      </c>
      <c r="C36" s="62"/>
      <c r="D36" s="65"/>
      <c r="E36" s="59" t="s">
        <v>139</v>
      </c>
      <c r="F36" s="43" t="s">
        <v>111</v>
      </c>
      <c r="G36" s="25"/>
      <c r="H36" s="2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2:27" ht="20.25" customHeight="1" x14ac:dyDescent="0.3">
      <c r="B37" s="8">
        <f t="shared" si="0"/>
        <v>33</v>
      </c>
      <c r="C37" s="62"/>
      <c r="D37" s="65"/>
      <c r="E37" s="59" t="s">
        <v>140</v>
      </c>
      <c r="F37" s="43" t="s">
        <v>111</v>
      </c>
      <c r="G37" s="25"/>
      <c r="H37" s="2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2:27" ht="20.25" customHeight="1" x14ac:dyDescent="0.3">
      <c r="B38" s="8">
        <f t="shared" si="0"/>
        <v>34</v>
      </c>
      <c r="C38" s="62"/>
      <c r="D38" s="65"/>
      <c r="E38" s="59" t="s">
        <v>47</v>
      </c>
      <c r="F38" s="43" t="s">
        <v>111</v>
      </c>
      <c r="G38" s="43"/>
      <c r="H38" s="2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2:27" ht="20.25" customHeight="1" x14ac:dyDescent="0.3">
      <c r="B39" s="8">
        <f t="shared" si="0"/>
        <v>35</v>
      </c>
      <c r="C39" s="62"/>
      <c r="D39" s="65"/>
      <c r="E39" s="59" t="s">
        <v>46</v>
      </c>
      <c r="F39" s="36"/>
      <c r="G39" s="43" t="s">
        <v>111</v>
      </c>
      <c r="H39" s="2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ht="20.25" customHeight="1" x14ac:dyDescent="0.3">
      <c r="B40" s="8">
        <f t="shared" si="0"/>
        <v>36</v>
      </c>
      <c r="C40" s="62"/>
      <c r="D40" s="65"/>
      <c r="E40" s="59" t="s">
        <v>141</v>
      </c>
      <c r="F40" s="43"/>
      <c r="G40" s="43" t="s">
        <v>111</v>
      </c>
      <c r="H40" s="2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ht="20.25" customHeight="1" x14ac:dyDescent="0.3">
      <c r="B41" s="8">
        <f t="shared" si="0"/>
        <v>37</v>
      </c>
      <c r="C41" s="62"/>
      <c r="D41" s="65"/>
      <c r="E41" s="59" t="s">
        <v>45</v>
      </c>
      <c r="F41" s="43"/>
      <c r="G41" s="43" t="s">
        <v>111</v>
      </c>
      <c r="H41" s="2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2:27" ht="20.25" customHeight="1" x14ac:dyDescent="0.3">
      <c r="B42" s="8">
        <f t="shared" si="0"/>
        <v>38</v>
      </c>
      <c r="C42" s="62"/>
      <c r="D42" s="65"/>
      <c r="E42" s="59" t="s">
        <v>142</v>
      </c>
      <c r="F42" s="43"/>
      <c r="G42" s="43" t="s">
        <v>111</v>
      </c>
      <c r="H42" s="2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2:27" ht="20.25" customHeight="1" x14ac:dyDescent="0.3">
      <c r="B43" s="8">
        <f t="shared" si="0"/>
        <v>39</v>
      </c>
      <c r="C43" s="66"/>
      <c r="D43" s="67"/>
      <c r="E43" s="68" t="s">
        <v>49</v>
      </c>
      <c r="F43" s="47"/>
      <c r="G43" s="43" t="s">
        <v>111</v>
      </c>
      <c r="H43" s="48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2:27" ht="20.25" customHeight="1" x14ac:dyDescent="0.3">
      <c r="B44" s="8">
        <f t="shared" si="0"/>
        <v>40</v>
      </c>
      <c r="C44" s="61"/>
      <c r="D44" s="61"/>
      <c r="E44" s="59" t="s">
        <v>51</v>
      </c>
      <c r="F44" s="38"/>
      <c r="G44" s="43" t="s">
        <v>111</v>
      </c>
      <c r="H44" s="2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2:27" ht="20.25" customHeight="1" x14ac:dyDescent="0.3">
      <c r="B45" s="39"/>
      <c r="C45" s="69"/>
      <c r="D45" s="69"/>
      <c r="E45" s="70"/>
      <c r="F45" s="45"/>
      <c r="G45" s="4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2:27" ht="20.25" customHeight="1" x14ac:dyDescent="0.3">
      <c r="B46" s="39"/>
      <c r="C46" s="69"/>
      <c r="D46" s="69"/>
      <c r="E46" s="70"/>
      <c r="F46" s="45"/>
      <c r="G46" s="4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2:27" ht="20.25" customHeight="1" x14ac:dyDescent="0.3">
      <c r="B47" s="51">
        <f>ROW(A41)</f>
        <v>41</v>
      </c>
      <c r="C47" s="61"/>
      <c r="D47" s="71" t="s">
        <v>52</v>
      </c>
      <c r="E47" s="59" t="s">
        <v>143</v>
      </c>
      <c r="F47" s="43" t="s">
        <v>111</v>
      </c>
      <c r="G47" s="38"/>
      <c r="H47" s="21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2:27" ht="20.25" customHeight="1" x14ac:dyDescent="0.3">
      <c r="B48" s="51">
        <f t="shared" ref="B48:B88" si="1">ROW(A42)</f>
        <v>42</v>
      </c>
      <c r="C48" s="63"/>
      <c r="D48" s="65"/>
      <c r="E48" s="72" t="s">
        <v>144</v>
      </c>
      <c r="F48" s="49"/>
      <c r="G48" s="43" t="s">
        <v>111</v>
      </c>
      <c r="H48" s="50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ht="20.25" customHeight="1" x14ac:dyDescent="0.3">
      <c r="B49" s="51">
        <f t="shared" si="1"/>
        <v>43</v>
      </c>
      <c r="C49" s="62"/>
      <c r="D49" s="60"/>
      <c r="E49" s="59" t="s">
        <v>145</v>
      </c>
      <c r="F49" s="43"/>
      <c r="G49" s="43" t="s">
        <v>111</v>
      </c>
      <c r="H49" s="2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ht="20.25" customHeight="1" x14ac:dyDescent="0.3">
      <c r="B50" s="51">
        <f t="shared" si="1"/>
        <v>44</v>
      </c>
      <c r="C50" s="62"/>
      <c r="D50" s="60"/>
      <c r="E50" s="59" t="s">
        <v>146</v>
      </c>
      <c r="F50" s="43" t="s">
        <v>111</v>
      </c>
      <c r="G50" s="25"/>
      <c r="H50" s="2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ht="20.25" customHeight="1" x14ac:dyDescent="0.3">
      <c r="B51" s="51">
        <f t="shared" si="1"/>
        <v>45</v>
      </c>
      <c r="C51" s="62"/>
      <c r="D51" s="60"/>
      <c r="E51" s="59" t="s">
        <v>147</v>
      </c>
      <c r="F51" s="43" t="s">
        <v>111</v>
      </c>
      <c r="G51" s="25"/>
      <c r="H51" s="2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ht="20.25" customHeight="1" x14ac:dyDescent="0.3">
      <c r="B52" s="51">
        <f t="shared" si="1"/>
        <v>46</v>
      </c>
      <c r="C52" s="62"/>
      <c r="D52" s="60"/>
      <c r="E52" s="59" t="s">
        <v>57</v>
      </c>
      <c r="F52" s="43"/>
      <c r="G52" s="43" t="s">
        <v>111</v>
      </c>
      <c r="H52" s="2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ht="20.25" customHeight="1" x14ac:dyDescent="0.3">
      <c r="B53" s="51">
        <f t="shared" si="1"/>
        <v>47</v>
      </c>
      <c r="C53" s="62"/>
      <c r="D53" s="71" t="s">
        <v>59</v>
      </c>
      <c r="E53" s="59" t="s">
        <v>148</v>
      </c>
      <c r="F53" s="43"/>
      <c r="G53" s="43" t="s">
        <v>111</v>
      </c>
      <c r="H53" s="2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ht="20.25" customHeight="1" x14ac:dyDescent="0.3">
      <c r="B54" s="51">
        <f t="shared" si="1"/>
        <v>48</v>
      </c>
      <c r="C54" s="62"/>
      <c r="D54" s="60"/>
      <c r="E54" s="59" t="s">
        <v>149</v>
      </c>
      <c r="F54" s="43"/>
      <c r="G54" s="43" t="s">
        <v>111</v>
      </c>
      <c r="H54" s="2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ht="20.25" customHeight="1" x14ac:dyDescent="0.3">
      <c r="B55" s="51">
        <f t="shared" si="1"/>
        <v>49</v>
      </c>
      <c r="C55" s="62"/>
      <c r="D55" s="60"/>
      <c r="E55" s="59" t="s">
        <v>150</v>
      </c>
      <c r="F55" s="43"/>
      <c r="G55" s="43" t="s">
        <v>111</v>
      </c>
      <c r="H55" s="2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ht="20.25" customHeight="1" x14ac:dyDescent="0.3">
      <c r="B56" s="51">
        <f t="shared" si="1"/>
        <v>50</v>
      </c>
      <c r="C56" s="62"/>
      <c r="D56" s="60"/>
      <c r="E56" s="59" t="s">
        <v>151</v>
      </c>
      <c r="F56" s="43" t="s">
        <v>111</v>
      </c>
      <c r="G56" s="25"/>
      <c r="H56" s="23"/>
      <c r="I56" s="3"/>
      <c r="J56" s="33"/>
      <c r="K56" s="33"/>
      <c r="L56" s="3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ht="20.25" customHeight="1" x14ac:dyDescent="0.3">
      <c r="B57" s="51">
        <f t="shared" si="1"/>
        <v>51</v>
      </c>
      <c r="C57" s="62"/>
      <c r="D57" s="60"/>
      <c r="E57" s="59" t="s">
        <v>152</v>
      </c>
      <c r="F57" s="43"/>
      <c r="G57" s="43" t="s">
        <v>111</v>
      </c>
      <c r="H57" s="2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ht="20.25" customHeight="1" x14ac:dyDescent="0.3">
      <c r="B58" s="51">
        <f t="shared" si="1"/>
        <v>52</v>
      </c>
      <c r="C58" s="62"/>
      <c r="D58" s="60"/>
      <c r="E58" s="59" t="s">
        <v>153</v>
      </c>
      <c r="F58" s="43" t="s">
        <v>111</v>
      </c>
      <c r="G58" s="25"/>
      <c r="H58" s="2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ht="20.25" customHeight="1" x14ac:dyDescent="0.3">
      <c r="B59" s="51">
        <f t="shared" si="1"/>
        <v>53</v>
      </c>
      <c r="C59" s="62"/>
      <c r="D59" s="60"/>
      <c r="E59" s="59" t="s">
        <v>154</v>
      </c>
      <c r="F59" s="43"/>
      <c r="G59" s="43" t="s">
        <v>111</v>
      </c>
      <c r="H59" s="2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ht="20.25" customHeight="1" x14ac:dyDescent="0.3">
      <c r="B60" s="51">
        <f t="shared" si="1"/>
        <v>54</v>
      </c>
      <c r="C60" s="62"/>
      <c r="D60" s="64" t="s">
        <v>67</v>
      </c>
      <c r="E60" s="59" t="s">
        <v>155</v>
      </c>
      <c r="F60" s="43"/>
      <c r="G60" s="43" t="s">
        <v>111</v>
      </c>
      <c r="H60" s="2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ht="20.25" customHeight="1" x14ac:dyDescent="0.3">
      <c r="B61" s="51">
        <f t="shared" si="1"/>
        <v>55</v>
      </c>
      <c r="C61" s="62"/>
      <c r="D61" s="60"/>
      <c r="E61" s="59" t="s">
        <v>156</v>
      </c>
      <c r="F61" s="43" t="s">
        <v>111</v>
      </c>
      <c r="G61" s="25"/>
      <c r="H61" s="2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ht="20.25" customHeight="1" x14ac:dyDescent="0.3">
      <c r="B62" s="51">
        <f t="shared" si="1"/>
        <v>56</v>
      </c>
      <c r="C62" s="62"/>
      <c r="D62" s="60"/>
      <c r="E62" s="59" t="s">
        <v>157</v>
      </c>
      <c r="F62" s="43" t="s">
        <v>111</v>
      </c>
      <c r="G62" s="25"/>
      <c r="H62" s="2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ht="20.25" customHeight="1" x14ac:dyDescent="0.3">
      <c r="B63" s="51">
        <f t="shared" si="1"/>
        <v>57</v>
      </c>
      <c r="C63" s="62"/>
      <c r="D63" s="60"/>
      <c r="E63" s="59" t="s">
        <v>158</v>
      </c>
      <c r="F63" s="43"/>
      <c r="G63" s="43" t="s">
        <v>111</v>
      </c>
      <c r="H63" s="2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ht="20.25" customHeight="1" x14ac:dyDescent="0.3">
      <c r="B64" s="51">
        <f t="shared" si="1"/>
        <v>58</v>
      </c>
      <c r="C64" s="62"/>
      <c r="D64" s="60"/>
      <c r="E64" s="59" t="s">
        <v>159</v>
      </c>
      <c r="F64" s="43" t="s">
        <v>111</v>
      </c>
      <c r="G64" s="25"/>
      <c r="H64" s="2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ht="20.25" customHeight="1" x14ac:dyDescent="0.3">
      <c r="B65" s="51">
        <f t="shared" si="1"/>
        <v>59</v>
      </c>
      <c r="C65" s="62"/>
      <c r="D65" s="71" t="s">
        <v>73</v>
      </c>
      <c r="E65" s="59" t="s">
        <v>76</v>
      </c>
      <c r="F65" s="43"/>
      <c r="G65" s="43" t="s">
        <v>111</v>
      </c>
      <c r="H65" s="2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ht="20.25" customHeight="1" x14ac:dyDescent="0.3">
      <c r="B66" s="51">
        <f t="shared" si="1"/>
        <v>60</v>
      </c>
      <c r="C66" s="62"/>
      <c r="D66" s="60"/>
      <c r="E66" s="59" t="s">
        <v>78</v>
      </c>
      <c r="F66" s="43"/>
      <c r="G66" s="43" t="s">
        <v>111</v>
      </c>
      <c r="H66" s="2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ht="20.25" customHeight="1" x14ac:dyDescent="0.3">
      <c r="B67" s="51">
        <f t="shared" si="1"/>
        <v>61</v>
      </c>
      <c r="C67" s="62"/>
      <c r="D67" s="60"/>
      <c r="E67" s="59" t="s">
        <v>160</v>
      </c>
      <c r="F67" s="43"/>
      <c r="G67" s="43" t="s">
        <v>111</v>
      </c>
      <c r="H67" s="2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ht="20.25" customHeight="1" x14ac:dyDescent="0.3">
      <c r="B68" s="51">
        <f t="shared" si="1"/>
        <v>62</v>
      </c>
      <c r="C68" s="62"/>
      <c r="D68" s="60"/>
      <c r="E68" s="59" t="s">
        <v>161</v>
      </c>
      <c r="F68" s="43" t="s">
        <v>111</v>
      </c>
      <c r="G68" s="25"/>
      <c r="H68" s="2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ht="20.25" customHeight="1" x14ac:dyDescent="0.3">
      <c r="B69" s="51">
        <f t="shared" si="1"/>
        <v>63</v>
      </c>
      <c r="C69" s="62"/>
      <c r="D69" s="60"/>
      <c r="E69" s="59" t="s">
        <v>162</v>
      </c>
      <c r="F69" s="43" t="s">
        <v>111</v>
      </c>
      <c r="G69" s="25"/>
      <c r="H69" s="2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ht="20.25" customHeight="1" x14ac:dyDescent="0.3">
      <c r="B70" s="51">
        <f t="shared" si="1"/>
        <v>64</v>
      </c>
      <c r="C70" s="62"/>
      <c r="D70" s="60"/>
      <c r="E70" s="59" t="s">
        <v>79</v>
      </c>
      <c r="F70" s="43"/>
      <c r="G70" s="43" t="s">
        <v>111</v>
      </c>
      <c r="H70" s="2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ht="20.25" customHeight="1" x14ac:dyDescent="0.3">
      <c r="B71" s="51">
        <f t="shared" si="1"/>
        <v>65</v>
      </c>
      <c r="C71" s="62"/>
      <c r="D71" s="64" t="s">
        <v>80</v>
      </c>
      <c r="E71" s="59" t="s">
        <v>163</v>
      </c>
      <c r="F71" s="27"/>
      <c r="G71" s="43" t="s">
        <v>111</v>
      </c>
      <c r="H71" s="2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ht="20.25" customHeight="1" x14ac:dyDescent="0.3">
      <c r="B72" s="51">
        <f t="shared" si="1"/>
        <v>66</v>
      </c>
      <c r="C72" s="62"/>
      <c r="D72" s="60"/>
      <c r="E72" s="59" t="s">
        <v>85</v>
      </c>
      <c r="F72" s="43" t="s">
        <v>111</v>
      </c>
      <c r="G72" s="43"/>
      <c r="H72" s="2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ht="20.25" customHeight="1" x14ac:dyDescent="0.3">
      <c r="B73" s="51">
        <f t="shared" si="1"/>
        <v>67</v>
      </c>
      <c r="C73" s="62"/>
      <c r="D73" s="60"/>
      <c r="E73" s="59" t="s">
        <v>84</v>
      </c>
      <c r="F73" s="43" t="s">
        <v>111</v>
      </c>
      <c r="G73" s="25"/>
      <c r="H73" s="2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ht="20.25" customHeight="1" x14ac:dyDescent="0.3">
      <c r="B74" s="51">
        <f t="shared" si="1"/>
        <v>68</v>
      </c>
      <c r="C74" s="62"/>
      <c r="D74" s="60"/>
      <c r="E74" s="59" t="s">
        <v>82</v>
      </c>
      <c r="F74" s="43" t="s">
        <v>111</v>
      </c>
      <c r="G74" s="43"/>
      <c r="H74" s="2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ht="20.25" customHeight="1" x14ac:dyDescent="0.3">
      <c r="B75" s="51">
        <f t="shared" si="1"/>
        <v>69</v>
      </c>
      <c r="C75" s="62"/>
      <c r="D75" s="60"/>
      <c r="E75" s="59" t="s">
        <v>83</v>
      </c>
      <c r="F75" s="43" t="s">
        <v>111</v>
      </c>
      <c r="G75" s="25"/>
      <c r="H75" s="2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ht="20.25" customHeight="1" x14ac:dyDescent="0.3">
      <c r="B76" s="51">
        <f t="shared" si="1"/>
        <v>70</v>
      </c>
      <c r="C76" s="62"/>
      <c r="D76" s="71" t="s">
        <v>86</v>
      </c>
      <c r="E76" s="59" t="s">
        <v>164</v>
      </c>
      <c r="F76" s="43"/>
      <c r="G76" s="43" t="s">
        <v>111</v>
      </c>
      <c r="H76" s="2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ht="20.25" customHeight="1" x14ac:dyDescent="0.3">
      <c r="B77" s="51">
        <f t="shared" si="1"/>
        <v>71</v>
      </c>
      <c r="C77" s="60"/>
      <c r="D77" s="64"/>
      <c r="E77" s="59" t="s">
        <v>93</v>
      </c>
      <c r="F77" s="43"/>
      <c r="G77" s="43" t="s">
        <v>111</v>
      </c>
      <c r="H77" s="2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ht="20.25" customHeight="1" x14ac:dyDescent="0.3">
      <c r="B78" s="51">
        <f t="shared" si="1"/>
        <v>72</v>
      </c>
      <c r="C78" s="60"/>
      <c r="D78" s="64"/>
      <c r="E78" s="59" t="s">
        <v>88</v>
      </c>
      <c r="F78" s="43"/>
      <c r="G78" s="43" t="s">
        <v>111</v>
      </c>
      <c r="H78" s="2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ht="20.25" customHeight="1" x14ac:dyDescent="0.3">
      <c r="B79" s="51">
        <f t="shared" si="1"/>
        <v>73</v>
      </c>
      <c r="C79" s="60"/>
      <c r="D79" s="64"/>
      <c r="E79" s="59" t="s">
        <v>90</v>
      </c>
      <c r="F79" s="43"/>
      <c r="G79" s="43" t="s">
        <v>111</v>
      </c>
      <c r="H79" s="2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ht="20.25" customHeight="1" x14ac:dyDescent="0.3">
      <c r="B80" s="51">
        <f t="shared" si="1"/>
        <v>74</v>
      </c>
      <c r="C80" s="60"/>
      <c r="D80" s="64"/>
      <c r="E80" s="59" t="s">
        <v>91</v>
      </c>
      <c r="F80" s="43"/>
      <c r="G80" s="43" t="s">
        <v>111</v>
      </c>
      <c r="H80" s="2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ht="20.25" customHeight="1" x14ac:dyDescent="0.3">
      <c r="B81" s="51">
        <f t="shared" si="1"/>
        <v>75</v>
      </c>
      <c r="C81" s="60"/>
      <c r="D81" s="64"/>
      <c r="E81" s="59" t="s">
        <v>92</v>
      </c>
      <c r="F81" s="43"/>
      <c r="G81" s="43" t="s">
        <v>111</v>
      </c>
      <c r="H81" s="2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2:27" ht="20.25" customHeight="1" x14ac:dyDescent="0.3">
      <c r="B82" s="51">
        <f t="shared" si="1"/>
        <v>76</v>
      </c>
      <c r="C82" s="60"/>
      <c r="D82" s="64"/>
      <c r="E82" s="59" t="s">
        <v>89</v>
      </c>
      <c r="F82" s="43"/>
      <c r="G82" s="43" t="s">
        <v>111</v>
      </c>
      <c r="H82" s="2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2:27" ht="20.25" customHeight="1" x14ac:dyDescent="0.3">
      <c r="B83" s="51">
        <f t="shared" si="1"/>
        <v>77</v>
      </c>
      <c r="C83" s="60"/>
      <c r="D83" s="73" t="s">
        <v>94</v>
      </c>
      <c r="E83" s="59" t="s">
        <v>165</v>
      </c>
      <c r="F83" s="43"/>
      <c r="G83" s="43" t="s">
        <v>111</v>
      </c>
      <c r="H83" s="2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2:27" ht="20.25" customHeight="1" x14ac:dyDescent="0.3">
      <c r="B84" s="51">
        <f t="shared" si="1"/>
        <v>78</v>
      </c>
      <c r="C84" s="60"/>
      <c r="D84" s="64"/>
      <c r="E84" s="59" t="s">
        <v>166</v>
      </c>
      <c r="F84" s="43"/>
      <c r="G84" s="43" t="s">
        <v>111</v>
      </c>
      <c r="H84" s="2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2:27" ht="20.25" customHeight="1" x14ac:dyDescent="0.3">
      <c r="B85" s="51">
        <f t="shared" si="1"/>
        <v>79</v>
      </c>
      <c r="C85" s="60"/>
      <c r="D85" s="64"/>
      <c r="E85" s="74" t="s">
        <v>100</v>
      </c>
      <c r="F85" s="42"/>
      <c r="G85" s="43" t="s">
        <v>111</v>
      </c>
      <c r="H85" s="2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2:27" ht="20.25" customHeight="1" x14ac:dyDescent="0.3">
      <c r="B86" s="51">
        <f t="shared" si="1"/>
        <v>80</v>
      </c>
      <c r="C86" s="62"/>
      <c r="D86" s="63"/>
      <c r="E86" s="59" t="s">
        <v>99</v>
      </c>
      <c r="F86" s="43"/>
      <c r="G86" s="43" t="s">
        <v>111</v>
      </c>
      <c r="H86" s="2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2:27" ht="20.25" customHeight="1" x14ac:dyDescent="0.3">
      <c r="B87" s="51">
        <f t="shared" si="1"/>
        <v>81</v>
      </c>
      <c r="C87" s="62"/>
      <c r="D87" s="63"/>
      <c r="E87" s="59" t="s">
        <v>97</v>
      </c>
      <c r="F87" s="43"/>
      <c r="G87" s="43" t="s">
        <v>111</v>
      </c>
      <c r="H87" s="2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2:27" ht="20.25" customHeight="1" x14ac:dyDescent="0.3">
      <c r="B88" s="51">
        <f t="shared" si="1"/>
        <v>82</v>
      </c>
      <c r="C88" s="62"/>
      <c r="D88" s="63"/>
      <c r="E88" s="59" t="s">
        <v>167</v>
      </c>
      <c r="F88" s="43" t="s">
        <v>111</v>
      </c>
      <c r="G88" s="25"/>
      <c r="H88" s="2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2:27" ht="20.25" customHeight="1" x14ac:dyDescent="0.3">
      <c r="B89" s="75" t="s">
        <v>101</v>
      </c>
      <c r="C89" s="76"/>
      <c r="D89" s="76"/>
      <c r="E89" s="77"/>
      <c r="F89" s="52">
        <f>COUNTIF(F5:F88,"P")</f>
        <v>28</v>
      </c>
      <c r="G89" s="52">
        <f>COUNTIF(G5:G88,"P")</f>
        <v>54</v>
      </c>
      <c r="H89" s="2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2:27" ht="7.5" customHeight="1" x14ac:dyDescent="0.3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2:27" ht="20.25" hidden="1" customHeight="1" x14ac:dyDescent="0.3">
      <c r="B91" s="3"/>
      <c r="C91" s="30" t="s">
        <v>102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2:27" ht="18.75" customHeight="1" x14ac:dyDescent="0.3">
      <c r="B92" s="3"/>
      <c r="F92" s="3"/>
      <c r="G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2:27" ht="19.5" customHeight="1" x14ac:dyDescent="0.3">
      <c r="B93" s="3"/>
      <c r="F93" s="3"/>
      <c r="G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2:27" ht="21" customHeight="1" x14ac:dyDescent="0.3">
      <c r="B94" s="3"/>
      <c r="F94" s="3"/>
      <c r="G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2:27" ht="20.25" customHeight="1" x14ac:dyDescent="0.3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2:27" ht="20.25" customHeight="1" x14ac:dyDescent="0.3">
      <c r="B96" s="3"/>
      <c r="C96" s="31"/>
      <c r="D96" s="32" t="s">
        <v>103</v>
      </c>
      <c r="E96" s="31" t="s">
        <v>104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2:27" ht="20.25" customHeight="1" x14ac:dyDescent="0.3">
      <c r="B97" s="3"/>
      <c r="C97" s="3" t="s">
        <v>105</v>
      </c>
      <c r="D97" s="78"/>
      <c r="E97" s="78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2:27" ht="20.25" customHeight="1" x14ac:dyDescent="0.3">
      <c r="B98" s="3"/>
      <c r="C98" s="31" t="s">
        <v>106</v>
      </c>
      <c r="D98" s="78" t="s">
        <v>107</v>
      </c>
      <c r="E98" s="78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2:27" ht="20.25" customHeight="1" x14ac:dyDescent="0.3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2:27" ht="20.25" customHeight="1" x14ac:dyDescent="0.3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2:27" ht="20.25" customHeight="1" x14ac:dyDescent="0.3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2:27" ht="20.25" customHeight="1" x14ac:dyDescent="0.3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2:27" ht="20.25" customHeight="1" x14ac:dyDescent="0.3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2:27" ht="20.25" customHeight="1" x14ac:dyDescent="0.3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2:27" ht="20.25" customHeight="1" x14ac:dyDescent="0.3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2:27" ht="20.25" customHeight="1" x14ac:dyDescent="0.3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2:27" ht="20.25" customHeight="1" x14ac:dyDescent="0.3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2:27" ht="20.25" customHeight="1" x14ac:dyDescent="0.3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2:27" ht="20.25" customHeight="1" x14ac:dyDescent="0.3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2:27" ht="20.25" customHeight="1" x14ac:dyDescent="0.3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2:27" ht="20.25" customHeight="1" x14ac:dyDescent="0.3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2:27" ht="20.25" customHeight="1" x14ac:dyDescent="0.3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2:27" ht="20.25" customHeight="1" x14ac:dyDescent="0.3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2:27" ht="20.25" customHeight="1" x14ac:dyDescent="0.3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2:27" ht="20.25" customHeight="1" x14ac:dyDescent="0.3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2:27" ht="20.25" customHeight="1" x14ac:dyDescent="0.3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2:27" ht="20.25" customHeight="1" x14ac:dyDescent="0.3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2:27" ht="20.25" customHeight="1" x14ac:dyDescent="0.3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2:27" ht="20.25" customHeight="1" x14ac:dyDescent="0.3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2:27" ht="20.25" customHeight="1" x14ac:dyDescent="0.3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2:27" ht="20.25" customHeight="1" x14ac:dyDescent="0.3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2:27" ht="20.25" customHeight="1" x14ac:dyDescent="0.3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2:27" ht="20.25" customHeight="1" x14ac:dyDescent="0.3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2:27" ht="20.25" customHeight="1" x14ac:dyDescent="0.3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2:27" ht="20.25" customHeight="1" x14ac:dyDescent="0.3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2:27" ht="20.25" customHeight="1" x14ac:dyDescent="0.3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2:27" ht="20.25" customHeight="1" x14ac:dyDescent="0.3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2:27" ht="20.25" customHeight="1" x14ac:dyDescent="0.3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2:27" ht="20.25" customHeight="1" x14ac:dyDescent="0.3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2:27" ht="20.25" customHeight="1" x14ac:dyDescent="0.3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2:27" ht="20.25" customHeight="1" x14ac:dyDescent="0.3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2:27" ht="20.25" customHeight="1" x14ac:dyDescent="0.3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2:27" ht="20.25" customHeight="1" x14ac:dyDescent="0.3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2:27" ht="20.25" customHeight="1" x14ac:dyDescent="0.3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2:27" ht="20.25" customHeight="1" x14ac:dyDescent="0.3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2:27" ht="20.25" customHeight="1" x14ac:dyDescent="0.3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2:27" ht="20.25" customHeight="1" x14ac:dyDescent="0.3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2:27" ht="20.25" customHeight="1" x14ac:dyDescent="0.3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2:27" ht="20.25" customHeight="1" x14ac:dyDescent="0.3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2:27" ht="20.25" customHeight="1" x14ac:dyDescent="0.3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2:27" ht="20.25" customHeigh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2:27" ht="20.25" customHeight="1" x14ac:dyDescent="0.3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2:27" ht="20.25" customHeight="1" x14ac:dyDescent="0.3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2:27" ht="20.25" customHeight="1" x14ac:dyDescent="0.3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2:27" ht="20.25" customHeight="1" x14ac:dyDescent="0.3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2:27" ht="20.25" customHeight="1" x14ac:dyDescent="0.3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2:27" ht="20.25" customHeight="1" x14ac:dyDescent="0.3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2:27" ht="20.25" customHeight="1" x14ac:dyDescent="0.3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2:27" ht="20.25" customHeight="1" x14ac:dyDescent="0.3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2:27" ht="20.25" customHeight="1" x14ac:dyDescent="0.3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2:27" ht="20.25" customHeight="1" x14ac:dyDescent="0.3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2:27" ht="20.25" customHeight="1" x14ac:dyDescent="0.3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2:27" ht="20.25" customHeight="1" x14ac:dyDescent="0.3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2:27" ht="20.25" customHeight="1" x14ac:dyDescent="0.3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2:27" ht="20.25" customHeight="1" x14ac:dyDescent="0.3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2:27" ht="20.25" customHeight="1" x14ac:dyDescent="0.3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2:27" ht="20.25" customHeight="1" x14ac:dyDescent="0.3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2:27" ht="20.25" customHeight="1" x14ac:dyDescent="0.3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2:27" ht="20.25" customHeight="1" x14ac:dyDescent="0.3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2:27" ht="20.25" customHeight="1" x14ac:dyDescent="0.3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2:27" ht="20.25" customHeight="1" x14ac:dyDescent="0.3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2:27" ht="20.25" customHeight="1" x14ac:dyDescent="0.3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2:27" ht="20.25" customHeight="1" x14ac:dyDescent="0.3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2:27" ht="20.25" customHeight="1" x14ac:dyDescent="0.3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2:27" ht="20.25" customHeight="1" x14ac:dyDescent="0.3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2:27" ht="20.25" customHeight="1" x14ac:dyDescent="0.3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2:27" ht="20.25" customHeight="1" x14ac:dyDescent="0.3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2:27" ht="20.25" customHeight="1" x14ac:dyDescent="0.3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2:27" ht="20.25" customHeight="1" x14ac:dyDescent="0.3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2:27" ht="20.25" customHeight="1" x14ac:dyDescent="0.3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2:27" ht="20.25" customHeight="1" x14ac:dyDescent="0.3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2:27" ht="20.25" customHeight="1" x14ac:dyDescent="0.3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2:27" ht="20.25" customHeight="1" x14ac:dyDescent="0.3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2:27" ht="20.25" customHeight="1" x14ac:dyDescent="0.3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2:27" ht="20.25" customHeight="1" x14ac:dyDescent="0.3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2:27" ht="20.25" customHeight="1" x14ac:dyDescent="0.3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2:27" ht="20.25" customHeight="1" x14ac:dyDescent="0.3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2:27" ht="20.25" customHeight="1" x14ac:dyDescent="0.3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2:27" ht="20.25" customHeight="1" x14ac:dyDescent="0.3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2:27" ht="20.25" customHeight="1" x14ac:dyDescent="0.3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2:27" ht="20.25" customHeight="1" x14ac:dyDescent="0.3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2:27" ht="20.25" customHeight="1" x14ac:dyDescent="0.3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2:27" ht="20.25" customHeight="1" x14ac:dyDescent="0.3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2:27" ht="20.25" customHeight="1" x14ac:dyDescent="0.3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2:27" ht="20.25" customHeight="1" x14ac:dyDescent="0.3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2:27" ht="20.25" customHeight="1" x14ac:dyDescent="0.3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2:27" ht="20.25" customHeight="1" x14ac:dyDescent="0.3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2:27" ht="20.25" customHeight="1" x14ac:dyDescent="0.3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2:27" ht="20.25" customHeight="1" x14ac:dyDescent="0.3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2:27" ht="20.25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2:27" ht="20.25" customHeight="1" x14ac:dyDescent="0.3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2:27" ht="20.25" customHeight="1" x14ac:dyDescent="0.3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2:27" ht="20.25" customHeight="1" x14ac:dyDescent="0.3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2:27" ht="20.25" customHeight="1" x14ac:dyDescent="0.3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2:27" ht="20.25" customHeight="1" x14ac:dyDescent="0.3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2:27" ht="20.25" customHeight="1" x14ac:dyDescent="0.3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2:27" ht="20.25" customHeight="1" x14ac:dyDescent="0.3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2:27" ht="20.25" customHeight="1" x14ac:dyDescent="0.3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2:27" ht="20.25" customHeight="1" x14ac:dyDescent="0.3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2:27" ht="20.25" customHeight="1" x14ac:dyDescent="0.3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2:27" ht="20.25" customHeight="1" x14ac:dyDescent="0.3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2:27" ht="20.25" customHeight="1" x14ac:dyDescent="0.3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2:27" ht="20.25" customHeight="1" x14ac:dyDescent="0.3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2:27" ht="20.25" customHeight="1" x14ac:dyDescent="0.3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2:27" ht="20.25" customHeight="1" x14ac:dyDescent="0.3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2:27" ht="20.25" customHeight="1" x14ac:dyDescent="0.3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2:27" ht="20.25" customHeight="1" x14ac:dyDescent="0.3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2:27" ht="20.25" customHeight="1" x14ac:dyDescent="0.3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2:27" ht="20.25" customHeight="1" x14ac:dyDescent="0.3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2:27" ht="20.25" customHeight="1" x14ac:dyDescent="0.3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2:27" ht="20.25" customHeight="1" x14ac:dyDescent="0.3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2:27" ht="20.25" customHeight="1" x14ac:dyDescent="0.3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2:27" ht="20.25" customHeight="1" x14ac:dyDescent="0.3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2:27" ht="20.25" customHeight="1" x14ac:dyDescent="0.3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2:27" ht="20.25" customHeight="1" x14ac:dyDescent="0.3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2:27" ht="20.25" customHeight="1" x14ac:dyDescent="0.3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2:27" ht="20.25" customHeight="1" x14ac:dyDescent="0.3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2:27" ht="20.25" customHeight="1" x14ac:dyDescent="0.3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2:27" ht="20.25" customHeight="1" x14ac:dyDescent="0.3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2:27" ht="20.25" customHeight="1" x14ac:dyDescent="0.3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2:27" ht="20.25" customHeight="1" x14ac:dyDescent="0.3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2:27" ht="20.25" customHeight="1" x14ac:dyDescent="0.3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2:27" ht="20.25" customHeight="1" x14ac:dyDescent="0.3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2:27" ht="20.25" customHeight="1" x14ac:dyDescent="0.3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2:27" ht="20.25" customHeight="1" x14ac:dyDescent="0.3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2:27" ht="20.25" customHeight="1" x14ac:dyDescent="0.3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2:27" ht="20.25" customHeight="1" x14ac:dyDescent="0.3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2:27" ht="20.25" customHeight="1" x14ac:dyDescent="0.3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2:27" ht="20.25" customHeight="1" x14ac:dyDescent="0.3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2:27" ht="20.25" customHeight="1" x14ac:dyDescent="0.3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2:27" ht="20.25" customHeight="1" x14ac:dyDescent="0.3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2:27" ht="20.25" customHeight="1" x14ac:dyDescent="0.3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2:27" ht="20.25" customHeight="1" x14ac:dyDescent="0.3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2:27" ht="20.25" customHeight="1" x14ac:dyDescent="0.3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2:27" ht="20.25" customHeight="1" x14ac:dyDescent="0.3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2:27" ht="20.25" customHeight="1" x14ac:dyDescent="0.3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2:27" ht="20.25" customHeight="1" x14ac:dyDescent="0.3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2:27" ht="20.25" customHeight="1" x14ac:dyDescent="0.3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2:27" ht="20.25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2:27" ht="20.25" customHeight="1" x14ac:dyDescent="0.3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2:27" ht="20.25" customHeight="1" x14ac:dyDescent="0.3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2:27" ht="20.25" customHeight="1" x14ac:dyDescent="0.3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2:27" ht="20.25" customHeight="1" x14ac:dyDescent="0.3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2:27" ht="20.25" customHeight="1" x14ac:dyDescent="0.3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2:27" ht="20.25" customHeight="1" x14ac:dyDescent="0.3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2:27" ht="20.25" customHeight="1" x14ac:dyDescent="0.3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2:27" ht="20.25" customHeight="1" x14ac:dyDescent="0.3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2:27" ht="20.25" customHeight="1" x14ac:dyDescent="0.3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2:27" ht="20.25" customHeight="1" x14ac:dyDescent="0.3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2:27" ht="20.25" customHeight="1" x14ac:dyDescent="0.3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2:27" ht="20.25" customHeight="1" x14ac:dyDescent="0.3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2:27" ht="20.25" customHeight="1" x14ac:dyDescent="0.3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2:27" ht="20.25" customHeight="1" x14ac:dyDescent="0.3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2:27" ht="20.25" customHeight="1" x14ac:dyDescent="0.3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2:27" ht="20.25" customHeight="1" x14ac:dyDescent="0.3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2:27" ht="20.25" customHeight="1" x14ac:dyDescent="0.3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2:27" ht="20.25" customHeight="1" x14ac:dyDescent="0.3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2:27" ht="20.25" customHeight="1" x14ac:dyDescent="0.3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2:27" ht="20.25" customHeight="1" x14ac:dyDescent="0.3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2:27" ht="20.25" customHeight="1" x14ac:dyDescent="0.3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2:27" ht="20.25" customHeight="1" x14ac:dyDescent="0.3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2:27" ht="20.25" customHeight="1" x14ac:dyDescent="0.3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2:27" ht="20.25" customHeight="1" x14ac:dyDescent="0.3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2:27" ht="20.25" customHeight="1" x14ac:dyDescent="0.3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2:27" ht="20.25" customHeight="1" x14ac:dyDescent="0.3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2:27" ht="20.25" customHeight="1" x14ac:dyDescent="0.3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2:27" ht="20.25" customHeight="1" x14ac:dyDescent="0.3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2:27" ht="20.25" customHeight="1" x14ac:dyDescent="0.3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2:27" ht="20.25" customHeight="1" x14ac:dyDescent="0.3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2:27" ht="20.25" customHeight="1" x14ac:dyDescent="0.3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2:27" ht="20.25" customHeight="1" x14ac:dyDescent="0.3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2:27" ht="20.25" customHeight="1" x14ac:dyDescent="0.3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2:27" ht="20.25" customHeight="1" x14ac:dyDescent="0.3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2:27" ht="20.25" customHeight="1" x14ac:dyDescent="0.3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2:27" ht="20.25" customHeight="1" x14ac:dyDescent="0.3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2:27" ht="20.25" customHeight="1" x14ac:dyDescent="0.3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2:27" ht="20.25" customHeight="1" x14ac:dyDescent="0.3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2:27" ht="20.25" customHeight="1" x14ac:dyDescent="0.3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2:27" ht="20.25" customHeight="1" x14ac:dyDescent="0.3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2:27" ht="20.25" customHeight="1" x14ac:dyDescent="0.3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2:27" ht="20.25" customHeight="1" x14ac:dyDescent="0.3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2:27" ht="20.25" customHeight="1" x14ac:dyDescent="0.3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2:27" ht="20.25" customHeight="1" x14ac:dyDescent="0.3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2:27" ht="20.25" customHeight="1" x14ac:dyDescent="0.3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2:27" ht="20.25" customHeight="1" x14ac:dyDescent="0.3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2:27" ht="20.25" customHeight="1" x14ac:dyDescent="0.3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2:27" ht="20.25" customHeight="1" x14ac:dyDescent="0.3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2:27" ht="20.25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2:27" ht="20.25" customHeight="1" x14ac:dyDescent="0.3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2:27" ht="20.25" customHeight="1" x14ac:dyDescent="0.3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2:27" ht="20.25" customHeight="1" x14ac:dyDescent="0.3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2:27" ht="20.25" customHeight="1" x14ac:dyDescent="0.3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2:27" ht="20.25" customHeight="1" x14ac:dyDescent="0.3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2:27" ht="20.25" customHeight="1" x14ac:dyDescent="0.3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2:27" ht="20.25" customHeight="1" x14ac:dyDescent="0.3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2:27" ht="20.25" customHeight="1" x14ac:dyDescent="0.3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2:27" ht="20.25" customHeight="1" x14ac:dyDescent="0.3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2:27" ht="20.25" customHeight="1" x14ac:dyDescent="0.3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2:27" ht="20.25" customHeight="1" x14ac:dyDescent="0.3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2:27" ht="20.25" customHeight="1" x14ac:dyDescent="0.3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2:27" ht="20.25" customHeight="1" x14ac:dyDescent="0.3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2:27" ht="20.25" customHeight="1" x14ac:dyDescent="0.3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2:27" ht="20.25" customHeight="1" x14ac:dyDescent="0.3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2:27" ht="20.25" customHeight="1" x14ac:dyDescent="0.3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2:27" ht="20.25" customHeight="1" x14ac:dyDescent="0.3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2:27" ht="20.25" customHeight="1" x14ac:dyDescent="0.3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2:27" ht="20.25" customHeight="1" x14ac:dyDescent="0.3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2:27" ht="20.25" customHeight="1" x14ac:dyDescent="0.3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2:27" ht="20.25" customHeight="1" x14ac:dyDescent="0.3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2:27" ht="20.25" customHeight="1" x14ac:dyDescent="0.3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2:27" ht="20.25" customHeight="1" x14ac:dyDescent="0.3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2:27" ht="20.25" customHeight="1" x14ac:dyDescent="0.3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2:27" ht="20.25" customHeight="1" x14ac:dyDescent="0.3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2:27" ht="20.25" customHeight="1" x14ac:dyDescent="0.3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2:27" ht="20.25" customHeight="1" x14ac:dyDescent="0.3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2:27" ht="20.25" customHeight="1" x14ac:dyDescent="0.3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2:27" ht="20.25" customHeight="1" x14ac:dyDescent="0.3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2:27" ht="20.25" customHeight="1" x14ac:dyDescent="0.3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2:27" ht="20.25" customHeight="1" x14ac:dyDescent="0.3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2:27" ht="20.25" customHeight="1" x14ac:dyDescent="0.3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2:27" ht="20.25" customHeight="1" x14ac:dyDescent="0.3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2:27" ht="20.25" customHeight="1" x14ac:dyDescent="0.3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2:27" ht="20.25" customHeight="1" x14ac:dyDescent="0.3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2:27" ht="20.25" customHeight="1" x14ac:dyDescent="0.3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2:27" ht="20.25" customHeight="1" x14ac:dyDescent="0.3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2:27" ht="20.25" customHeight="1" x14ac:dyDescent="0.3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2:27" ht="20.25" customHeight="1" x14ac:dyDescent="0.3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2:27" ht="20.25" customHeight="1" x14ac:dyDescent="0.3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2:27" ht="20.25" customHeight="1" x14ac:dyDescent="0.3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2:27" ht="20.25" customHeight="1" x14ac:dyDescent="0.3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2:27" ht="20.25" customHeight="1" x14ac:dyDescent="0.3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2:27" ht="20.25" customHeight="1" x14ac:dyDescent="0.3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2:27" ht="20.25" customHeight="1" x14ac:dyDescent="0.3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2:27" ht="20.25" customHeight="1" x14ac:dyDescent="0.3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2:27" ht="20.25" customHeight="1" x14ac:dyDescent="0.3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2:27" ht="20.25" customHeight="1" x14ac:dyDescent="0.3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2:27" ht="20.25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2:27" ht="20.25" customHeight="1" x14ac:dyDescent="0.3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2:27" ht="20.25" customHeight="1" x14ac:dyDescent="0.3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2:27" ht="20.25" customHeight="1" x14ac:dyDescent="0.3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2:27" ht="20.25" customHeight="1" x14ac:dyDescent="0.3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2:27" ht="20.25" customHeight="1" x14ac:dyDescent="0.3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2:27" ht="20.25" customHeight="1" x14ac:dyDescent="0.3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2:27" ht="20.25" customHeight="1" x14ac:dyDescent="0.3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2:27" ht="20.25" customHeight="1" x14ac:dyDescent="0.3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2:27" ht="20.25" customHeight="1" x14ac:dyDescent="0.3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2:27" ht="20.25" customHeight="1" x14ac:dyDescent="0.3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2:27" ht="20.25" customHeight="1" x14ac:dyDescent="0.3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2:27" ht="20.25" customHeight="1" x14ac:dyDescent="0.3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2:27" ht="20.25" customHeight="1" x14ac:dyDescent="0.3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2:27" ht="20.25" customHeight="1" x14ac:dyDescent="0.3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2:27" ht="20.25" customHeight="1" x14ac:dyDescent="0.3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2:27" ht="20.25" customHeight="1" x14ac:dyDescent="0.3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2:27" ht="20.25" customHeight="1" x14ac:dyDescent="0.3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2:27" ht="20.25" customHeight="1" x14ac:dyDescent="0.3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2:27" ht="20.25" customHeight="1" x14ac:dyDescent="0.3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2:27" ht="20.25" customHeight="1" x14ac:dyDescent="0.3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2:27" ht="20.25" customHeight="1" x14ac:dyDescent="0.3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2:27" ht="20.25" customHeight="1" x14ac:dyDescent="0.3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2:27" ht="20.25" customHeight="1" x14ac:dyDescent="0.3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2:27" ht="20.25" customHeight="1" x14ac:dyDescent="0.3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2:27" ht="20.25" customHeight="1" x14ac:dyDescent="0.3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2:27" ht="20.25" customHeight="1" x14ac:dyDescent="0.3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2:27" ht="20.25" customHeight="1" x14ac:dyDescent="0.3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2:27" ht="20.25" customHeight="1" x14ac:dyDescent="0.3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2:27" ht="20.25" customHeight="1" x14ac:dyDescent="0.3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2:27" ht="20.25" customHeight="1" x14ac:dyDescent="0.3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2:27" ht="20.25" customHeight="1" x14ac:dyDescent="0.3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2:27" ht="20.25" customHeight="1" x14ac:dyDescent="0.3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2:27" ht="20.25" customHeight="1" x14ac:dyDescent="0.3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2:27" ht="20.25" customHeight="1" x14ac:dyDescent="0.3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2:27" ht="20.25" customHeight="1" x14ac:dyDescent="0.3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2:27" ht="20.25" customHeight="1" x14ac:dyDescent="0.3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2:27" ht="20.25" customHeight="1" x14ac:dyDescent="0.3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2:27" ht="20.25" customHeight="1" x14ac:dyDescent="0.3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2:27" ht="20.25" customHeight="1" x14ac:dyDescent="0.3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2:27" ht="20.25" customHeight="1" x14ac:dyDescent="0.3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2:27" ht="20.25" customHeight="1" x14ac:dyDescent="0.3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2:27" ht="20.25" customHeight="1" x14ac:dyDescent="0.3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2:27" ht="20.25" customHeight="1" x14ac:dyDescent="0.3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2:27" ht="20.25" customHeight="1" x14ac:dyDescent="0.3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2:27" ht="20.25" customHeight="1" x14ac:dyDescent="0.3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2:27" ht="20.25" customHeight="1" x14ac:dyDescent="0.3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2:27" ht="20.25" customHeight="1" x14ac:dyDescent="0.3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2:27" ht="20.25" customHeight="1" x14ac:dyDescent="0.3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2:27" ht="20.25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2:27" ht="20.25" customHeight="1" x14ac:dyDescent="0.3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2:27" ht="20.25" customHeight="1" x14ac:dyDescent="0.3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2:27" ht="20.25" customHeight="1" x14ac:dyDescent="0.3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2:27" ht="20.25" customHeight="1" x14ac:dyDescent="0.3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2:27" ht="20.25" customHeight="1" x14ac:dyDescent="0.3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2:27" ht="20.25" customHeight="1" x14ac:dyDescent="0.3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2:27" ht="20.25" customHeight="1" x14ac:dyDescent="0.3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2:27" ht="20.25" customHeight="1" x14ac:dyDescent="0.3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2:27" ht="20.25" customHeight="1" x14ac:dyDescent="0.3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2:27" ht="20.25" customHeight="1" x14ac:dyDescent="0.3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2:27" ht="20.25" customHeight="1" x14ac:dyDescent="0.3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2:27" ht="20.25" customHeight="1" x14ac:dyDescent="0.3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2:27" ht="20.25" customHeight="1" x14ac:dyDescent="0.3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2:27" ht="20.25" customHeight="1" x14ac:dyDescent="0.3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2:27" ht="20.25" customHeight="1" x14ac:dyDescent="0.3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2:27" ht="20.25" customHeight="1" x14ac:dyDescent="0.3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2:27" ht="20.25" customHeight="1" x14ac:dyDescent="0.3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2:27" ht="20.25" customHeight="1" x14ac:dyDescent="0.3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2:27" ht="20.25" customHeight="1" x14ac:dyDescent="0.3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2:27" ht="20.25" customHeight="1" x14ac:dyDescent="0.3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2:27" ht="20.25" customHeight="1" x14ac:dyDescent="0.3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2:27" ht="20.25" customHeight="1" x14ac:dyDescent="0.3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2:27" ht="20.25" customHeight="1" x14ac:dyDescent="0.3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2:27" ht="20.25" customHeight="1" x14ac:dyDescent="0.3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2:27" ht="20.25" customHeight="1" x14ac:dyDescent="0.3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2:27" ht="20.25" customHeight="1" x14ac:dyDescent="0.3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2:27" ht="20.25" customHeight="1" x14ac:dyDescent="0.3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2:27" ht="20.25" customHeight="1" x14ac:dyDescent="0.3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2:27" ht="20.25" customHeight="1" x14ac:dyDescent="0.3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2:27" ht="20.25" customHeight="1" x14ac:dyDescent="0.3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2:27" ht="20.25" customHeight="1" x14ac:dyDescent="0.3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2:27" ht="20.25" customHeight="1" x14ac:dyDescent="0.3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2:27" ht="20.25" customHeight="1" x14ac:dyDescent="0.3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2:27" ht="20.25" customHeight="1" x14ac:dyDescent="0.3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2:27" ht="20.25" customHeight="1" x14ac:dyDescent="0.3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2:27" ht="20.25" customHeight="1" x14ac:dyDescent="0.3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2:27" ht="20.25" customHeight="1" x14ac:dyDescent="0.3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2:27" ht="20.25" customHeight="1" x14ac:dyDescent="0.3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2:27" ht="20.25" customHeight="1" x14ac:dyDescent="0.3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2:27" ht="20.25" customHeight="1" x14ac:dyDescent="0.3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2:27" ht="20.25" customHeight="1" x14ac:dyDescent="0.3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2:27" ht="20.25" customHeight="1" x14ac:dyDescent="0.3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2:27" ht="20.25" customHeight="1" x14ac:dyDescent="0.3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2:27" ht="20.25" customHeight="1" x14ac:dyDescent="0.3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2:27" ht="20.25" customHeight="1" x14ac:dyDescent="0.3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2:27" ht="20.25" customHeight="1" x14ac:dyDescent="0.3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2:27" ht="20.25" customHeight="1" x14ac:dyDescent="0.3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2:27" ht="20.25" customHeight="1" x14ac:dyDescent="0.3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2:27" ht="20.25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2:27" ht="20.25" customHeight="1" x14ac:dyDescent="0.3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2:27" ht="20.25" customHeight="1" x14ac:dyDescent="0.3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2:27" ht="20.25" customHeight="1" x14ac:dyDescent="0.3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2:27" ht="20.25" customHeight="1" x14ac:dyDescent="0.3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2:27" ht="20.25" customHeight="1" x14ac:dyDescent="0.3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2:27" ht="20.25" customHeight="1" x14ac:dyDescent="0.3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2:27" ht="20.25" customHeight="1" x14ac:dyDescent="0.3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2:27" ht="20.25" customHeight="1" x14ac:dyDescent="0.3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2:27" ht="20.25" customHeight="1" x14ac:dyDescent="0.3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2:27" ht="20.25" customHeight="1" x14ac:dyDescent="0.3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2:27" ht="20.25" customHeight="1" x14ac:dyDescent="0.3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2:27" ht="20.25" customHeight="1" x14ac:dyDescent="0.3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2:27" ht="20.25" customHeight="1" x14ac:dyDescent="0.3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2:27" ht="20.25" customHeight="1" x14ac:dyDescent="0.3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2:27" ht="20.25" customHeight="1" x14ac:dyDescent="0.3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2:27" ht="20.25" customHeight="1" x14ac:dyDescent="0.3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2:27" ht="20.25" customHeight="1" x14ac:dyDescent="0.3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2:27" ht="20.25" customHeight="1" x14ac:dyDescent="0.3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2:27" ht="20.25" customHeight="1" x14ac:dyDescent="0.3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2:27" ht="20.25" customHeight="1" x14ac:dyDescent="0.3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2:27" ht="20.25" customHeight="1" x14ac:dyDescent="0.3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2:27" ht="20.25" customHeight="1" x14ac:dyDescent="0.3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2:27" ht="20.25" customHeight="1" x14ac:dyDescent="0.3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2:27" ht="20.25" customHeight="1" x14ac:dyDescent="0.3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2:27" ht="20.25" customHeight="1" x14ac:dyDescent="0.3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2:27" ht="20.25" customHeight="1" x14ac:dyDescent="0.3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2:27" ht="20.25" customHeight="1" x14ac:dyDescent="0.3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2:27" ht="20.25" customHeight="1" x14ac:dyDescent="0.3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2:27" ht="20.25" customHeight="1" x14ac:dyDescent="0.3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2:27" ht="20.25" customHeight="1" x14ac:dyDescent="0.3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2:27" ht="20.25" customHeight="1" x14ac:dyDescent="0.3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2:27" ht="20.25" customHeight="1" x14ac:dyDescent="0.3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2:27" ht="20.25" customHeight="1" x14ac:dyDescent="0.3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2:27" ht="20.25" customHeight="1" x14ac:dyDescent="0.3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2:27" ht="20.25" customHeight="1" x14ac:dyDescent="0.3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2:27" ht="20.25" customHeight="1" x14ac:dyDescent="0.3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2:27" ht="20.25" customHeight="1" x14ac:dyDescent="0.3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2:27" ht="20.25" customHeight="1" x14ac:dyDescent="0.3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2:27" ht="20.25" customHeight="1" x14ac:dyDescent="0.3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2:27" ht="20.25" customHeight="1" x14ac:dyDescent="0.3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2:27" ht="20.25" customHeight="1" x14ac:dyDescent="0.3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2:27" ht="20.25" customHeight="1" x14ac:dyDescent="0.3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2:27" ht="20.25" customHeight="1" x14ac:dyDescent="0.3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2:27" ht="20.25" customHeight="1" x14ac:dyDescent="0.3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2:27" ht="20.25" customHeight="1" x14ac:dyDescent="0.3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2:27" ht="20.25" customHeight="1" x14ac:dyDescent="0.3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2:27" ht="20.25" customHeight="1" x14ac:dyDescent="0.3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2:27" ht="20.25" customHeight="1" x14ac:dyDescent="0.3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2:27" ht="20.25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2:27" ht="20.25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2:27" ht="20.25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2:27" ht="20.25" customHeight="1" x14ac:dyDescent="0.3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2:27" ht="20.25" customHeight="1" x14ac:dyDescent="0.3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2:27" ht="20.25" customHeight="1" x14ac:dyDescent="0.3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2:27" ht="20.25" customHeight="1" x14ac:dyDescent="0.3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2:27" ht="20.25" customHeight="1" x14ac:dyDescent="0.3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2:27" ht="20.25" customHeight="1" x14ac:dyDescent="0.3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2:27" ht="20.25" customHeight="1" x14ac:dyDescent="0.3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2:27" ht="20.25" customHeight="1" x14ac:dyDescent="0.3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2:27" ht="20.25" customHeight="1" x14ac:dyDescent="0.3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2:27" ht="20.25" customHeight="1" x14ac:dyDescent="0.3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2:27" ht="20.25" customHeight="1" x14ac:dyDescent="0.3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2:27" ht="20.25" customHeight="1" x14ac:dyDescent="0.3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2:27" ht="20.25" customHeight="1" x14ac:dyDescent="0.3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2:27" ht="20.25" customHeight="1" x14ac:dyDescent="0.3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2:27" ht="20.25" customHeight="1" x14ac:dyDescent="0.3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2:27" ht="20.25" customHeight="1" x14ac:dyDescent="0.3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2:27" ht="20.25" customHeight="1" x14ac:dyDescent="0.3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2:27" ht="20.25" customHeight="1" x14ac:dyDescent="0.3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2:27" ht="20.25" customHeight="1" x14ac:dyDescent="0.3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2:27" ht="20.25" customHeight="1" x14ac:dyDescent="0.3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2:27" ht="20.25" customHeight="1" x14ac:dyDescent="0.3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2:27" ht="20.25" customHeight="1" x14ac:dyDescent="0.3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2:27" ht="20.25" customHeight="1" x14ac:dyDescent="0.3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2:27" ht="20.25" customHeight="1" x14ac:dyDescent="0.3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2:27" ht="20.25" customHeight="1" x14ac:dyDescent="0.3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2:27" ht="20.25" customHeight="1" x14ac:dyDescent="0.3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2:27" ht="20.25" customHeight="1" x14ac:dyDescent="0.3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2:27" ht="20.25" customHeight="1" x14ac:dyDescent="0.3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2:27" ht="20.25" customHeight="1" x14ac:dyDescent="0.3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2:27" ht="20.25" customHeight="1" x14ac:dyDescent="0.3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2:27" ht="20.25" customHeight="1" x14ac:dyDescent="0.3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2:27" ht="20.25" customHeight="1" x14ac:dyDescent="0.3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2:27" ht="20.25" customHeight="1" x14ac:dyDescent="0.3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2:27" ht="20.25" customHeight="1" x14ac:dyDescent="0.3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2:27" ht="20.25" customHeight="1" x14ac:dyDescent="0.3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2:27" ht="20.25" customHeight="1" x14ac:dyDescent="0.3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2:27" ht="20.25" customHeight="1" x14ac:dyDescent="0.3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2:27" ht="20.25" customHeight="1" x14ac:dyDescent="0.3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2:27" ht="20.25" customHeight="1" x14ac:dyDescent="0.3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2:27" ht="20.25" customHeight="1" x14ac:dyDescent="0.3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2:27" ht="20.25" customHeight="1" x14ac:dyDescent="0.3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2:27" ht="20.25" customHeight="1" x14ac:dyDescent="0.3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2:27" ht="20.25" customHeight="1" x14ac:dyDescent="0.3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2:27" ht="20.25" customHeight="1" x14ac:dyDescent="0.3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2:27" ht="20.25" customHeight="1" x14ac:dyDescent="0.3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2:27" ht="20.25" customHeight="1" x14ac:dyDescent="0.3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2:27" ht="20.25" customHeight="1" x14ac:dyDescent="0.3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2:27" ht="20.25" customHeight="1" x14ac:dyDescent="0.3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2:27" ht="20.25" customHeight="1" x14ac:dyDescent="0.3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2:27" ht="20.25" customHeight="1" x14ac:dyDescent="0.3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2:27" ht="20.25" customHeight="1" x14ac:dyDescent="0.3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2:27" ht="20.25" customHeight="1" x14ac:dyDescent="0.3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2:27" ht="20.25" customHeight="1" x14ac:dyDescent="0.3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2:27" ht="20.25" customHeight="1" x14ac:dyDescent="0.3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2:27" ht="20.25" customHeight="1" x14ac:dyDescent="0.3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2:27" ht="20.25" customHeight="1" x14ac:dyDescent="0.3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2:27" ht="20.25" customHeight="1" x14ac:dyDescent="0.3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2:27" ht="20.25" customHeight="1" x14ac:dyDescent="0.3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2:27" ht="20.25" customHeight="1" x14ac:dyDescent="0.3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2:27" ht="20.25" customHeight="1" x14ac:dyDescent="0.3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2:27" ht="20.25" customHeight="1" x14ac:dyDescent="0.3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2:27" ht="20.25" customHeight="1" x14ac:dyDescent="0.3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2:27" ht="20.25" customHeight="1" x14ac:dyDescent="0.3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2:27" ht="20.25" customHeight="1" x14ac:dyDescent="0.3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2:27" ht="20.25" customHeight="1" x14ac:dyDescent="0.3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2:27" ht="20.25" customHeight="1" x14ac:dyDescent="0.3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2:27" ht="20.25" customHeight="1" x14ac:dyDescent="0.3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2:27" ht="20.25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2:27" ht="20.25" customHeight="1" x14ac:dyDescent="0.3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2:27" ht="20.25" customHeight="1" x14ac:dyDescent="0.3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2:27" ht="20.25" customHeight="1" x14ac:dyDescent="0.3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2:27" ht="20.25" customHeight="1" x14ac:dyDescent="0.3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2:27" ht="20.25" customHeight="1" x14ac:dyDescent="0.3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2:27" ht="20.25" customHeight="1" x14ac:dyDescent="0.3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2:27" ht="20.25" customHeight="1" x14ac:dyDescent="0.3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2:27" ht="20.25" customHeight="1" x14ac:dyDescent="0.3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2:27" ht="20.25" customHeight="1" x14ac:dyDescent="0.3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2:27" ht="20.25" customHeight="1" x14ac:dyDescent="0.3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2:27" ht="20.25" customHeight="1" x14ac:dyDescent="0.3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2:27" ht="20.25" customHeight="1" x14ac:dyDescent="0.3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2:27" ht="20.25" customHeight="1" x14ac:dyDescent="0.3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2:27" ht="20.25" customHeight="1" x14ac:dyDescent="0.3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2:27" ht="20.25" customHeight="1" x14ac:dyDescent="0.3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2:27" ht="20.25" customHeight="1" x14ac:dyDescent="0.3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2:27" ht="20.25" customHeight="1" x14ac:dyDescent="0.3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2:27" ht="20.25" customHeight="1" x14ac:dyDescent="0.3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2:27" ht="20.25" customHeight="1" x14ac:dyDescent="0.3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2:27" ht="20.25" customHeight="1" x14ac:dyDescent="0.3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2:27" ht="20.25" customHeight="1" x14ac:dyDescent="0.3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2:27" ht="20.25" customHeight="1" x14ac:dyDescent="0.3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2:27" ht="20.25" customHeight="1" x14ac:dyDescent="0.3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2:27" ht="20.25" customHeight="1" x14ac:dyDescent="0.3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2:27" ht="20.25" customHeight="1" x14ac:dyDescent="0.3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2:27" ht="20.25" customHeight="1" x14ac:dyDescent="0.3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2:27" ht="20.25" customHeight="1" x14ac:dyDescent="0.3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2:27" ht="20.25" customHeight="1" x14ac:dyDescent="0.3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2:27" ht="20.25" customHeight="1" x14ac:dyDescent="0.3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2:27" ht="20.25" customHeight="1" x14ac:dyDescent="0.3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2:27" ht="20.25" customHeight="1" x14ac:dyDescent="0.3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2:27" ht="20.25" customHeight="1" x14ac:dyDescent="0.3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2:27" ht="20.25" customHeight="1" x14ac:dyDescent="0.3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2:27" ht="20.25" customHeight="1" x14ac:dyDescent="0.3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2:27" ht="20.25" customHeight="1" x14ac:dyDescent="0.3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2:27" ht="20.25" customHeight="1" x14ac:dyDescent="0.3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2:27" ht="20.25" customHeight="1" x14ac:dyDescent="0.3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2:27" ht="20.25" customHeight="1" x14ac:dyDescent="0.3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2:27" ht="20.25" customHeight="1" x14ac:dyDescent="0.3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2:27" ht="20.25" customHeight="1" x14ac:dyDescent="0.3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2:27" ht="20.25" customHeight="1" x14ac:dyDescent="0.3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2:27" ht="20.25" customHeight="1" x14ac:dyDescent="0.3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2:27" ht="20.25" customHeight="1" x14ac:dyDescent="0.3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2:27" ht="20.25" customHeight="1" x14ac:dyDescent="0.3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2:27" ht="20.25" customHeight="1" x14ac:dyDescent="0.3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2:27" ht="20.25" customHeight="1" x14ac:dyDescent="0.3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2:27" ht="20.25" customHeight="1" x14ac:dyDescent="0.3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2:27" ht="20.25" customHeight="1" x14ac:dyDescent="0.3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2:27" ht="20.25" customHeight="1" x14ac:dyDescent="0.3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2:27" ht="20.25" customHeight="1" x14ac:dyDescent="0.3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2:27" ht="20.25" customHeight="1" x14ac:dyDescent="0.3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2:27" ht="20.25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2:27" ht="20.25" customHeight="1" x14ac:dyDescent="0.3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2:27" ht="20.25" customHeight="1" x14ac:dyDescent="0.3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2:27" ht="20.25" customHeight="1" x14ac:dyDescent="0.3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2:27" ht="20.25" customHeight="1" x14ac:dyDescent="0.3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2:27" ht="20.25" customHeight="1" x14ac:dyDescent="0.3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2:27" ht="20.25" customHeight="1" x14ac:dyDescent="0.3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2:27" ht="20.25" customHeight="1" x14ac:dyDescent="0.3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2:27" ht="20.25" customHeight="1" x14ac:dyDescent="0.3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2:27" ht="20.25" customHeight="1" x14ac:dyDescent="0.3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2:27" ht="20.25" customHeight="1" x14ac:dyDescent="0.3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2:27" ht="20.25" customHeight="1" x14ac:dyDescent="0.3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2:27" ht="20.25" customHeight="1" x14ac:dyDescent="0.3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2:27" ht="20.25" customHeight="1" x14ac:dyDescent="0.3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2:27" ht="20.25" customHeight="1" x14ac:dyDescent="0.3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2:27" ht="20.25" customHeight="1" x14ac:dyDescent="0.3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2:27" ht="20.25" customHeight="1" x14ac:dyDescent="0.3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2:27" ht="20.25" customHeight="1" x14ac:dyDescent="0.3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2:27" ht="20.25" customHeight="1" x14ac:dyDescent="0.3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2:27" ht="20.25" customHeight="1" x14ac:dyDescent="0.3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2:27" ht="20.25" customHeight="1" x14ac:dyDescent="0.3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2:27" ht="20.25" customHeight="1" x14ac:dyDescent="0.3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2:27" ht="20.25" customHeight="1" x14ac:dyDescent="0.3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2:27" ht="20.25" customHeight="1" x14ac:dyDescent="0.3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2:27" ht="20.25" customHeight="1" x14ac:dyDescent="0.3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2:27" ht="20.25" customHeight="1" x14ac:dyDescent="0.3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2:27" ht="20.25" customHeight="1" x14ac:dyDescent="0.3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2:27" ht="20.25" customHeight="1" x14ac:dyDescent="0.3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2:27" ht="20.25" customHeight="1" x14ac:dyDescent="0.3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2:27" ht="20.25" customHeight="1" x14ac:dyDescent="0.3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2:27" ht="20.25" customHeight="1" x14ac:dyDescent="0.3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2:27" ht="20.25" customHeight="1" x14ac:dyDescent="0.3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2:27" ht="20.25" customHeight="1" x14ac:dyDescent="0.3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2:27" ht="20.25" customHeight="1" x14ac:dyDescent="0.3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2:27" ht="20.25" customHeight="1" x14ac:dyDescent="0.3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2:27" ht="20.25" customHeight="1" x14ac:dyDescent="0.3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2:27" ht="20.25" customHeight="1" x14ac:dyDescent="0.3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2:27" ht="20.25" customHeight="1" x14ac:dyDescent="0.3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2:27" ht="20.25" customHeight="1" x14ac:dyDescent="0.3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2:27" ht="20.25" customHeight="1" x14ac:dyDescent="0.3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2:27" ht="20.25" customHeight="1" x14ac:dyDescent="0.3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2:27" ht="20.25" customHeight="1" x14ac:dyDescent="0.3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2:27" ht="20.25" customHeight="1" x14ac:dyDescent="0.3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2:27" ht="20.25" customHeight="1" x14ac:dyDescent="0.3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2:27" ht="20.25" customHeight="1" x14ac:dyDescent="0.3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2:27" ht="20.25" customHeight="1" x14ac:dyDescent="0.3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2:27" ht="20.25" customHeight="1" x14ac:dyDescent="0.3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2:27" ht="20.25" customHeight="1" x14ac:dyDescent="0.3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2:27" ht="20.25" customHeight="1" x14ac:dyDescent="0.3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2:27" ht="20.25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2:27" ht="20.25" customHeight="1" x14ac:dyDescent="0.3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2:27" ht="20.25" customHeight="1" x14ac:dyDescent="0.3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2:27" ht="20.25" customHeight="1" x14ac:dyDescent="0.3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2:27" ht="20.25" customHeight="1" x14ac:dyDescent="0.3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2:27" ht="20.25" customHeight="1" x14ac:dyDescent="0.3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2:27" ht="20.25" customHeight="1" x14ac:dyDescent="0.3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2:27" ht="20.25" customHeight="1" x14ac:dyDescent="0.3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2:27" ht="20.25" customHeight="1" x14ac:dyDescent="0.3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2:27" ht="20.25" customHeight="1" x14ac:dyDescent="0.3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2:27" ht="20.25" customHeight="1" x14ac:dyDescent="0.3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2:27" ht="20.25" customHeight="1" x14ac:dyDescent="0.3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2:27" ht="20.25" customHeight="1" x14ac:dyDescent="0.3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2:27" ht="20.25" customHeight="1" x14ac:dyDescent="0.3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2:27" ht="20.25" customHeight="1" x14ac:dyDescent="0.3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2:27" ht="20.25" customHeight="1" x14ac:dyDescent="0.3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2:27" ht="20.25" customHeight="1" x14ac:dyDescent="0.3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2:27" ht="20.25" customHeight="1" x14ac:dyDescent="0.3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2:27" ht="20.25" customHeight="1" x14ac:dyDescent="0.3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2:27" ht="20.25" customHeight="1" x14ac:dyDescent="0.3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2:27" ht="20.25" customHeight="1" x14ac:dyDescent="0.3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2:27" ht="20.25" customHeight="1" x14ac:dyDescent="0.3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2:27" ht="20.25" customHeight="1" x14ac:dyDescent="0.3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2:27" ht="20.25" customHeight="1" x14ac:dyDescent="0.3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2:27" ht="20.25" customHeight="1" x14ac:dyDescent="0.3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2:27" ht="20.25" customHeight="1" x14ac:dyDescent="0.3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2:27" ht="20.25" customHeight="1" x14ac:dyDescent="0.3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2:27" ht="20.25" customHeight="1" x14ac:dyDescent="0.3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2:27" ht="20.25" customHeight="1" x14ac:dyDescent="0.3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2:27" ht="20.25" customHeight="1" x14ac:dyDescent="0.3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2:27" ht="20.25" customHeight="1" x14ac:dyDescent="0.3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2:27" ht="20.25" customHeight="1" x14ac:dyDescent="0.3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2:27" ht="20.25" customHeight="1" x14ac:dyDescent="0.3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2:27" ht="20.25" customHeight="1" x14ac:dyDescent="0.3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2:27" ht="20.25" customHeight="1" x14ac:dyDescent="0.3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2:27" ht="20.25" customHeight="1" x14ac:dyDescent="0.3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2:27" ht="20.25" customHeight="1" x14ac:dyDescent="0.3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2:27" ht="20.25" customHeight="1" x14ac:dyDescent="0.3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2:27" ht="20.25" customHeight="1" x14ac:dyDescent="0.3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2:27" ht="20.25" customHeight="1" x14ac:dyDescent="0.3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2:27" ht="20.25" customHeight="1" x14ac:dyDescent="0.3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2:27" ht="20.25" customHeight="1" x14ac:dyDescent="0.3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2:27" ht="20.25" customHeight="1" x14ac:dyDescent="0.3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2:27" ht="20.25" customHeight="1" x14ac:dyDescent="0.3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2:27" ht="20.25" customHeight="1" x14ac:dyDescent="0.3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2:27" ht="20.25" customHeight="1" x14ac:dyDescent="0.3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2:27" ht="20.25" customHeight="1" x14ac:dyDescent="0.3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2:27" ht="20.25" customHeight="1" x14ac:dyDescent="0.3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2:27" ht="20.25" customHeight="1" x14ac:dyDescent="0.3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2:27" ht="20.25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2:27" ht="20.25" customHeight="1" x14ac:dyDescent="0.3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2:27" ht="20.25" customHeight="1" x14ac:dyDescent="0.3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2:27" ht="20.25" customHeight="1" x14ac:dyDescent="0.3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2:27" ht="20.25" customHeight="1" x14ac:dyDescent="0.3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2:27" ht="20.25" customHeight="1" x14ac:dyDescent="0.3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2:27" ht="20.25" customHeight="1" x14ac:dyDescent="0.3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2:27" ht="20.25" customHeight="1" x14ac:dyDescent="0.3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2:27" ht="20.25" customHeight="1" x14ac:dyDescent="0.3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2:27" ht="20.25" customHeight="1" x14ac:dyDescent="0.3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2:27" ht="20.25" customHeight="1" x14ac:dyDescent="0.3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2:27" ht="20.25" customHeight="1" x14ac:dyDescent="0.3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2:27" ht="20.25" customHeight="1" x14ac:dyDescent="0.3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2:27" ht="20.25" customHeight="1" x14ac:dyDescent="0.3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2:27" ht="20.25" customHeight="1" x14ac:dyDescent="0.3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2:27" ht="20.25" customHeight="1" x14ac:dyDescent="0.3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2:27" ht="20.25" customHeight="1" x14ac:dyDescent="0.3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2:27" ht="20.25" customHeight="1" x14ac:dyDescent="0.3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2:27" ht="20.25" customHeight="1" x14ac:dyDescent="0.3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2:27" ht="20.25" customHeight="1" x14ac:dyDescent="0.3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2:27" ht="20.25" customHeight="1" x14ac:dyDescent="0.3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2:27" ht="20.25" customHeight="1" x14ac:dyDescent="0.3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2:27" ht="20.25" customHeight="1" x14ac:dyDescent="0.3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2:27" ht="20.25" customHeight="1" x14ac:dyDescent="0.3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2:27" ht="20.25" customHeight="1" x14ac:dyDescent="0.3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2:27" ht="20.25" customHeight="1" x14ac:dyDescent="0.3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2:27" ht="20.25" customHeight="1" x14ac:dyDescent="0.3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2:27" ht="20.25" customHeight="1" x14ac:dyDescent="0.3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2:27" ht="20.25" customHeight="1" x14ac:dyDescent="0.3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2:27" ht="20.25" customHeight="1" x14ac:dyDescent="0.3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2:27" ht="20.25" customHeight="1" x14ac:dyDescent="0.3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2:27" ht="20.25" customHeight="1" x14ac:dyDescent="0.3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2:27" ht="20.25" customHeight="1" x14ac:dyDescent="0.3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2:27" ht="20.25" customHeight="1" x14ac:dyDescent="0.3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2:27" ht="20.25" customHeight="1" x14ac:dyDescent="0.3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2:27" ht="20.25" customHeight="1" x14ac:dyDescent="0.3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2:27" ht="20.25" customHeight="1" x14ac:dyDescent="0.3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2:27" ht="20.25" customHeight="1" x14ac:dyDescent="0.3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2:27" ht="20.25" customHeight="1" x14ac:dyDescent="0.3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2:27" ht="20.25" customHeight="1" x14ac:dyDescent="0.3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2:27" ht="20.25" customHeight="1" x14ac:dyDescent="0.3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2:27" ht="20.25" customHeight="1" x14ac:dyDescent="0.3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2:27" ht="20.25" customHeight="1" x14ac:dyDescent="0.3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2:27" ht="20.25" customHeight="1" x14ac:dyDescent="0.3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2:27" ht="20.25" customHeight="1" x14ac:dyDescent="0.3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2:27" ht="20.25" customHeight="1" x14ac:dyDescent="0.3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2:27" ht="20.25" customHeight="1" x14ac:dyDescent="0.3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2:27" ht="20.25" customHeight="1" x14ac:dyDescent="0.3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2:27" ht="20.25" customHeight="1" x14ac:dyDescent="0.3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2:27" ht="20.25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2:27" ht="20.25" customHeight="1" x14ac:dyDescent="0.3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2:27" ht="20.25" customHeight="1" x14ac:dyDescent="0.3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2:27" ht="20.25" customHeight="1" x14ac:dyDescent="0.3"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2:27" ht="20.25" customHeight="1" x14ac:dyDescent="0.3"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2:27" ht="20.25" customHeight="1" x14ac:dyDescent="0.3"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2:27" ht="20.25" customHeight="1" x14ac:dyDescent="0.3"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2:27" ht="20.25" customHeight="1" x14ac:dyDescent="0.3"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2:27" ht="20.25" customHeight="1" x14ac:dyDescent="0.3"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2:27" ht="20.25" customHeight="1" x14ac:dyDescent="0.3"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2:27" ht="20.25" customHeight="1" x14ac:dyDescent="0.3"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2:27" ht="20.25" customHeight="1" x14ac:dyDescent="0.3"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2:27" ht="20.25" customHeight="1" x14ac:dyDescent="0.3"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2:27" ht="20.25" customHeight="1" x14ac:dyDescent="0.3"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2:27" ht="20.25" customHeight="1" x14ac:dyDescent="0.3"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2:27" ht="20.25" customHeight="1" x14ac:dyDescent="0.3"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2:27" ht="20.25" customHeight="1" x14ac:dyDescent="0.3"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2:27" ht="20.25" customHeight="1" x14ac:dyDescent="0.3"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2:27" ht="20.25" customHeight="1" x14ac:dyDescent="0.3"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2:27" ht="20.25" customHeight="1" x14ac:dyDescent="0.3"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2:27" ht="20.25" customHeight="1" x14ac:dyDescent="0.3"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2:27" ht="20.25" customHeight="1" x14ac:dyDescent="0.3"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2:27" ht="20.25" customHeight="1" x14ac:dyDescent="0.3"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2:27" ht="20.25" customHeight="1" x14ac:dyDescent="0.3"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2:27" ht="20.25" customHeight="1" x14ac:dyDescent="0.3"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2:27" ht="20.25" customHeight="1" x14ac:dyDescent="0.3"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2:27" ht="20.25" customHeight="1" x14ac:dyDescent="0.3"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2:27" ht="20.25" customHeight="1" x14ac:dyDescent="0.3"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2:27" ht="20.25" customHeight="1" x14ac:dyDescent="0.3"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2:27" ht="20.25" customHeight="1" x14ac:dyDescent="0.3"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2:27" ht="20.25" customHeight="1" x14ac:dyDescent="0.3"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2:27" ht="20.25" customHeight="1" x14ac:dyDescent="0.3"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2:27" ht="20.25" customHeight="1" x14ac:dyDescent="0.3"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2:27" ht="20.25" customHeight="1" x14ac:dyDescent="0.3"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2:27" ht="20.25" customHeight="1" x14ac:dyDescent="0.3"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2:27" ht="20.25" customHeight="1" x14ac:dyDescent="0.3"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2:27" ht="20.25" customHeight="1" x14ac:dyDescent="0.3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2:27" ht="20.25" customHeight="1" x14ac:dyDescent="0.3"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2:27" ht="20.25" customHeight="1" x14ac:dyDescent="0.3"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2:27" ht="20.25" customHeight="1" x14ac:dyDescent="0.3"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2:27" ht="20.25" customHeight="1" x14ac:dyDescent="0.3"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2:27" ht="20.25" customHeight="1" x14ac:dyDescent="0.3"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2:27" ht="20.25" customHeight="1" x14ac:dyDescent="0.3"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2:27" ht="20.25" customHeight="1" x14ac:dyDescent="0.3"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2:27" ht="20.25" customHeight="1" x14ac:dyDescent="0.3"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2:27" ht="20.25" customHeight="1" x14ac:dyDescent="0.3"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2:27" ht="20.25" customHeight="1" x14ac:dyDescent="0.3"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2:27" ht="20.25" customHeight="1" x14ac:dyDescent="0.3"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2:27" ht="20.25" customHeight="1" x14ac:dyDescent="0.3"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2:27" ht="20.25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2:27" ht="20.25" customHeight="1" x14ac:dyDescent="0.3"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2:27" ht="20.25" customHeight="1" x14ac:dyDescent="0.3"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2:27" ht="20.25" customHeight="1" x14ac:dyDescent="0.3"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2:27" ht="20.25" customHeight="1" x14ac:dyDescent="0.3"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2:27" ht="20.25" customHeight="1" x14ac:dyDescent="0.3"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2:27" ht="20.25" customHeight="1" x14ac:dyDescent="0.3"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2:27" ht="20.25" customHeight="1" x14ac:dyDescent="0.3"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2:27" ht="20.25" customHeight="1" x14ac:dyDescent="0.3"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2:27" ht="20.25" customHeight="1" x14ac:dyDescent="0.3"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2:27" ht="20.25" customHeight="1" x14ac:dyDescent="0.3"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2:27" ht="20.25" customHeight="1" x14ac:dyDescent="0.3"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2:27" ht="20.25" customHeight="1" x14ac:dyDescent="0.3"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2:27" ht="20.25" customHeight="1" x14ac:dyDescent="0.3"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2:27" ht="20.25" customHeight="1" x14ac:dyDescent="0.3"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2:27" ht="20.25" customHeight="1" x14ac:dyDescent="0.3"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2:27" ht="20.25" customHeight="1" x14ac:dyDescent="0.3"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2:27" ht="20.25" customHeight="1" x14ac:dyDescent="0.3"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2:27" ht="20.25" customHeight="1" x14ac:dyDescent="0.3"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2:27" ht="20.25" customHeight="1" x14ac:dyDescent="0.3"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2:27" ht="20.25" customHeight="1" x14ac:dyDescent="0.3"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2:27" ht="20.25" customHeight="1" x14ac:dyDescent="0.3"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2:27" ht="20.25" customHeight="1" x14ac:dyDescent="0.3"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2:27" ht="20.25" customHeight="1" x14ac:dyDescent="0.3"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2:27" ht="20.25" customHeight="1" x14ac:dyDescent="0.3"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2:27" ht="20.25" customHeight="1" x14ac:dyDescent="0.3"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2:27" ht="20.25" customHeight="1" x14ac:dyDescent="0.3"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2:27" ht="20.25" customHeight="1" x14ac:dyDescent="0.3"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2:27" ht="20.25" customHeight="1" x14ac:dyDescent="0.3"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2:27" ht="20.25" customHeight="1" x14ac:dyDescent="0.3"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2:27" ht="20.25" customHeight="1" x14ac:dyDescent="0.3"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2:27" ht="20.25" customHeight="1" x14ac:dyDescent="0.3"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2:27" ht="20.25" customHeight="1" x14ac:dyDescent="0.3"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2:27" ht="20.25" customHeight="1" x14ac:dyDescent="0.3"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2:27" ht="20.25" customHeight="1" x14ac:dyDescent="0.3"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2:27" ht="20.25" customHeight="1" x14ac:dyDescent="0.3"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2:27" ht="20.25" customHeight="1" x14ac:dyDescent="0.3"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2:27" ht="20.25" customHeight="1" x14ac:dyDescent="0.3"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2:27" ht="20.25" customHeight="1" x14ac:dyDescent="0.3"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2:27" ht="20.25" customHeight="1" x14ac:dyDescent="0.3"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2:27" ht="20.25" customHeight="1" x14ac:dyDescent="0.3"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2:27" ht="20.25" customHeight="1" x14ac:dyDescent="0.3"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2:27" ht="20.25" customHeight="1" x14ac:dyDescent="0.3"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2:27" ht="20.25" customHeight="1" x14ac:dyDescent="0.3"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2:27" ht="20.25" customHeight="1" x14ac:dyDescent="0.3"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2:27" ht="20.25" customHeight="1" x14ac:dyDescent="0.3"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2:27" ht="20.25" customHeight="1" x14ac:dyDescent="0.3"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2:27" ht="20.25" customHeight="1" x14ac:dyDescent="0.3"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2:27" ht="20.25" customHeight="1" x14ac:dyDescent="0.3"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2:27" ht="20.25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2:27" ht="20.25" customHeight="1" x14ac:dyDescent="0.3"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2:27" ht="20.25" customHeight="1" x14ac:dyDescent="0.3"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2:27" ht="20.25" customHeight="1" x14ac:dyDescent="0.3"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2:27" ht="20.25" customHeight="1" x14ac:dyDescent="0.3"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2:27" ht="20.25" customHeight="1" x14ac:dyDescent="0.3"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2:27" ht="20.25" customHeight="1" x14ac:dyDescent="0.3"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2:27" ht="20.25" customHeight="1" x14ac:dyDescent="0.3"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2:27" ht="20.25" customHeight="1" x14ac:dyDescent="0.3"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2:27" ht="20.25" customHeight="1" x14ac:dyDescent="0.3"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2:27" ht="20.25" customHeight="1" x14ac:dyDescent="0.3"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2:27" ht="20.25" customHeight="1" x14ac:dyDescent="0.3"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2:27" ht="20.25" customHeight="1" x14ac:dyDescent="0.3"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2:27" ht="20.25" customHeight="1" x14ac:dyDescent="0.3"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2:27" ht="20.25" customHeight="1" x14ac:dyDescent="0.3"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2:27" ht="20.25" customHeight="1" x14ac:dyDescent="0.3"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2:27" ht="20.25" customHeight="1" x14ac:dyDescent="0.3"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2:27" ht="20.25" customHeight="1" x14ac:dyDescent="0.3"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2:27" ht="20.25" customHeight="1" x14ac:dyDescent="0.3"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2:27" ht="20.25" customHeight="1" x14ac:dyDescent="0.3"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2:27" ht="20.25" customHeight="1" x14ac:dyDescent="0.3"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2:27" ht="20.25" customHeight="1" x14ac:dyDescent="0.3"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2:27" ht="20.25" customHeight="1" x14ac:dyDescent="0.3"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2:27" ht="20.25" customHeight="1" x14ac:dyDescent="0.3"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2:27" ht="20.25" customHeight="1" x14ac:dyDescent="0.3"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2:27" ht="20.25" customHeight="1" x14ac:dyDescent="0.3"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2:27" ht="20.25" customHeight="1" x14ac:dyDescent="0.3"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2:27" ht="20.25" customHeight="1" x14ac:dyDescent="0.3"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2:27" ht="20.25" customHeight="1" x14ac:dyDescent="0.3"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2:27" ht="20.25" customHeight="1" x14ac:dyDescent="0.3"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2:27" ht="20.25" customHeight="1" x14ac:dyDescent="0.3"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2:27" ht="20.25" customHeight="1" x14ac:dyDescent="0.3"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2:27" ht="20.25" customHeight="1" x14ac:dyDescent="0.3"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2:27" ht="20.25" customHeight="1" x14ac:dyDescent="0.3"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2:27" ht="20.25" customHeight="1" x14ac:dyDescent="0.3"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2:27" ht="20.25" customHeight="1" x14ac:dyDescent="0.3"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2:27" ht="20.25" customHeight="1" x14ac:dyDescent="0.3"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2:27" ht="20.25" customHeight="1" x14ac:dyDescent="0.3"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2:27" ht="20.25" customHeight="1" x14ac:dyDescent="0.3"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2:27" ht="20.25" customHeight="1" x14ac:dyDescent="0.3"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2:27" ht="20.25" customHeight="1" x14ac:dyDescent="0.3"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2:27" ht="20.25" customHeight="1" x14ac:dyDescent="0.3"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2:27" ht="20.25" customHeight="1" x14ac:dyDescent="0.3"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2:27" ht="20.25" customHeight="1" x14ac:dyDescent="0.3"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2:27" ht="20.25" customHeight="1" x14ac:dyDescent="0.3"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2:27" ht="20.25" customHeight="1" x14ac:dyDescent="0.3"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2:27" ht="20.25" customHeight="1" x14ac:dyDescent="0.3"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2:27" ht="20.25" customHeight="1" x14ac:dyDescent="0.3"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2:27" ht="20.25" customHeight="1" x14ac:dyDescent="0.3"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2:27" ht="20.25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2:27" ht="20.25" customHeight="1" x14ac:dyDescent="0.3"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2:27" ht="20.25" customHeight="1" x14ac:dyDescent="0.3"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2:27" ht="20.25" customHeight="1" x14ac:dyDescent="0.3"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2:27" ht="20.25" customHeight="1" x14ac:dyDescent="0.3"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2:27" ht="20.25" customHeight="1" x14ac:dyDescent="0.3"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2:27" ht="20.25" customHeight="1" x14ac:dyDescent="0.3"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2:27" ht="20.25" customHeight="1" x14ac:dyDescent="0.3"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2:27" ht="20.25" customHeight="1" x14ac:dyDescent="0.3"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2:27" ht="20.25" customHeight="1" x14ac:dyDescent="0.3"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2:27" ht="20.25" customHeight="1" x14ac:dyDescent="0.3"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2:27" ht="20.25" customHeight="1" x14ac:dyDescent="0.3"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2:27" ht="20.25" customHeight="1" x14ac:dyDescent="0.3"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2:27" ht="20.25" customHeight="1" x14ac:dyDescent="0.3"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2:27" ht="20.25" customHeight="1" x14ac:dyDescent="0.3"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2:27" ht="20.25" customHeight="1" x14ac:dyDescent="0.3"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2:27" ht="20.25" customHeight="1" x14ac:dyDescent="0.3"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2:27" ht="20.25" customHeight="1" x14ac:dyDescent="0.3"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2:27" ht="20.25" customHeight="1" x14ac:dyDescent="0.3"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2:27" ht="20.25" customHeight="1" x14ac:dyDescent="0.3"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2:27" ht="20.25" customHeight="1" x14ac:dyDescent="0.3"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2:27" ht="20.25" customHeight="1" x14ac:dyDescent="0.3"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2:27" ht="20.25" customHeight="1" x14ac:dyDescent="0.3"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2:27" ht="20.25" customHeight="1" x14ac:dyDescent="0.3"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2:27" ht="20.25" customHeight="1" x14ac:dyDescent="0.3"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2:27" ht="20.25" customHeight="1" x14ac:dyDescent="0.3"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2:27" ht="20.25" customHeight="1" x14ac:dyDescent="0.3"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2:27" ht="20.25" customHeight="1" x14ac:dyDescent="0.3"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2:27" ht="20.25" customHeight="1" x14ac:dyDescent="0.3"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2:27" ht="20.25" customHeight="1" x14ac:dyDescent="0.3"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2:27" ht="20.25" customHeight="1" x14ac:dyDescent="0.3"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2:27" ht="20.25" customHeight="1" x14ac:dyDescent="0.3"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2:27" ht="20.25" customHeight="1" x14ac:dyDescent="0.3"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2:27" ht="20.25" customHeight="1" x14ac:dyDescent="0.3"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2:27" ht="20.25" customHeight="1" x14ac:dyDescent="0.3"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2:27" ht="20.25" customHeight="1" x14ac:dyDescent="0.3"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2:27" ht="20.25" customHeight="1" x14ac:dyDescent="0.3"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2:27" ht="20.25" customHeight="1" x14ac:dyDescent="0.3"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2:27" ht="20.25" customHeight="1" x14ac:dyDescent="0.3"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2:27" ht="20.25" customHeight="1" x14ac:dyDescent="0.3"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2:27" ht="20.25" customHeight="1" x14ac:dyDescent="0.3"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2:27" ht="20.25" customHeight="1" x14ac:dyDescent="0.3"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2:27" ht="20.25" customHeight="1" x14ac:dyDescent="0.3"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2:27" ht="20.25" customHeight="1" x14ac:dyDescent="0.3"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2:27" ht="20.25" customHeight="1" x14ac:dyDescent="0.3"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2:27" ht="20.25" customHeight="1" x14ac:dyDescent="0.3"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2:27" ht="20.25" customHeight="1" x14ac:dyDescent="0.3"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2:27" ht="20.25" customHeight="1" x14ac:dyDescent="0.3"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2:27" ht="20.25" customHeight="1" x14ac:dyDescent="0.3"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2:27" ht="20.25" customHeight="1" x14ac:dyDescent="0.3"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2:27" ht="20.25" customHeight="1" x14ac:dyDescent="0.3"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2:27" ht="20.25" customHeight="1" x14ac:dyDescent="0.3"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2:27" ht="20.25" customHeight="1" x14ac:dyDescent="0.3"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2:27" ht="20.25" customHeight="1" x14ac:dyDescent="0.3"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2:27" ht="20.25" customHeight="1" x14ac:dyDescent="0.3"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2:27" ht="20.25" customHeight="1" x14ac:dyDescent="0.3"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2:27" ht="20.25" customHeight="1" x14ac:dyDescent="0.3"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2:27" ht="20.25" customHeight="1" x14ac:dyDescent="0.3"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2:27" ht="20.25" customHeight="1" x14ac:dyDescent="0.3"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2:27" ht="20.25" customHeight="1" x14ac:dyDescent="0.3"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2:27" ht="20.25" customHeight="1" x14ac:dyDescent="0.3"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2:27" ht="20.25" customHeight="1" x14ac:dyDescent="0.3"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2:27" ht="20.25" customHeight="1" x14ac:dyDescent="0.3"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2:27" ht="20.25" customHeight="1" x14ac:dyDescent="0.3"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2:27" ht="20.25" customHeight="1" x14ac:dyDescent="0.3"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2:27" ht="20.25" customHeight="1" x14ac:dyDescent="0.3"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2:27" ht="20.25" customHeight="1" x14ac:dyDescent="0.3"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2:27" ht="20.25" customHeight="1" x14ac:dyDescent="0.3"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2:27" ht="20.25" customHeight="1" x14ac:dyDescent="0.3"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2:27" ht="20.25" customHeight="1" x14ac:dyDescent="0.3"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2:27" ht="20.25" customHeight="1" x14ac:dyDescent="0.3"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2:27" ht="20.25" customHeight="1" x14ac:dyDescent="0.3"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2:27" ht="20.25" customHeight="1" x14ac:dyDescent="0.3"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2:27" ht="20.25" customHeight="1" x14ac:dyDescent="0.3"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2:27" ht="20.25" customHeight="1" x14ac:dyDescent="0.3"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2:27" ht="20.25" customHeight="1" x14ac:dyDescent="0.3"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2:27" ht="20.25" customHeight="1" x14ac:dyDescent="0.3"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2:27" ht="20.25" customHeight="1" x14ac:dyDescent="0.3"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2:27" ht="20.25" customHeight="1" x14ac:dyDescent="0.3"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2:27" ht="20.25" customHeight="1" x14ac:dyDescent="0.3"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2:27" ht="20.25" customHeight="1" x14ac:dyDescent="0.3"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2:27" ht="20.25" customHeight="1" x14ac:dyDescent="0.3"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2:27" ht="20.25" customHeight="1" x14ac:dyDescent="0.3"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2:27" ht="20.25" customHeight="1" x14ac:dyDescent="0.3"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2:27" ht="20.25" customHeight="1" x14ac:dyDescent="0.3"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2:27" ht="20.25" customHeight="1" x14ac:dyDescent="0.3"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2:27" ht="20.25" customHeight="1" x14ac:dyDescent="0.3"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2:27" ht="20.25" customHeight="1" x14ac:dyDescent="0.3"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2:27" ht="20.25" customHeight="1" x14ac:dyDescent="0.3"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2:27" ht="20.25" customHeight="1" x14ac:dyDescent="0.3"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2:27" ht="20.25" customHeight="1" x14ac:dyDescent="0.3"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2:27" ht="20.25" customHeight="1" x14ac:dyDescent="0.3"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2:27" ht="20.25" customHeight="1" x14ac:dyDescent="0.3"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2:27" ht="20.25" customHeight="1" x14ac:dyDescent="0.3"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2:27" ht="20.25" customHeight="1" x14ac:dyDescent="0.3"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2:27" ht="20.25" customHeight="1" x14ac:dyDescent="0.3"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2:27" ht="20.25" customHeight="1" x14ac:dyDescent="0.3"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2:27" ht="20.25" customHeight="1" x14ac:dyDescent="0.3"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2:27" ht="20.25" customHeight="1" x14ac:dyDescent="0.3"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2:27" ht="20.25" customHeight="1" x14ac:dyDescent="0.3"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2:27" ht="20.25" customHeight="1" x14ac:dyDescent="0.3"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2:27" ht="20.25" customHeight="1" x14ac:dyDescent="0.3"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2:27" ht="20.25" customHeight="1" x14ac:dyDescent="0.3"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2:27" ht="20.25" customHeight="1" x14ac:dyDescent="0.3"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2:27" ht="20.25" customHeight="1" x14ac:dyDescent="0.3"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2:27" ht="20.25" customHeight="1" x14ac:dyDescent="0.3"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2:27" ht="20.25" customHeight="1" x14ac:dyDescent="0.3"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2:27" ht="20.25" customHeight="1" x14ac:dyDescent="0.3"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2:27" ht="20.25" customHeight="1" x14ac:dyDescent="0.3"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2:27" ht="20.25" customHeight="1" x14ac:dyDescent="0.3"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2:27" ht="20.25" customHeight="1" x14ac:dyDescent="0.3"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2:27" ht="20.25" customHeight="1" x14ac:dyDescent="0.3"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2:27" ht="20.25" customHeight="1" x14ac:dyDescent="0.3"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2:27" ht="20.25" customHeight="1" x14ac:dyDescent="0.3"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2:27" ht="20.25" customHeight="1" x14ac:dyDescent="0.3"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2:27" ht="20.25" customHeight="1" x14ac:dyDescent="0.3"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2:27" ht="20.25" customHeight="1" x14ac:dyDescent="0.3"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2:27" ht="20.25" customHeight="1" x14ac:dyDescent="0.3"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2:27" ht="20.25" customHeight="1" x14ac:dyDescent="0.3"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2:27" ht="20.25" customHeight="1" x14ac:dyDescent="0.3"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2:27" ht="20.25" customHeight="1" x14ac:dyDescent="0.3"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2:27" ht="20.25" customHeight="1" x14ac:dyDescent="0.3"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2:27" ht="20.25" customHeight="1" x14ac:dyDescent="0.3"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2:27" ht="20.25" customHeight="1" x14ac:dyDescent="0.3"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2:27" ht="20.25" customHeight="1" x14ac:dyDescent="0.3"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2:27" ht="20.25" customHeight="1" x14ac:dyDescent="0.3"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2:27" ht="20.25" customHeight="1" x14ac:dyDescent="0.3"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2:27" ht="20.25" customHeight="1" x14ac:dyDescent="0.3"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2:27" ht="20.25" customHeight="1" x14ac:dyDescent="0.3"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2:27" ht="20.25" customHeight="1" x14ac:dyDescent="0.3"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2:27" ht="20.25" customHeight="1" x14ac:dyDescent="0.3"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2:27" ht="20.25" customHeight="1" x14ac:dyDescent="0.3"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2:27" ht="20.25" customHeight="1" x14ac:dyDescent="0.3"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2:27" ht="20.25" customHeight="1" x14ac:dyDescent="0.3"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2:27" ht="20.25" customHeight="1" x14ac:dyDescent="0.3"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2:27" ht="20.25" customHeight="1" x14ac:dyDescent="0.3"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2:27" ht="20.25" customHeight="1" x14ac:dyDescent="0.3"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2:27" ht="20.25" customHeight="1" x14ac:dyDescent="0.3"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2:27" ht="20.25" customHeight="1" x14ac:dyDescent="0.3"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2:27" ht="20.25" customHeight="1" x14ac:dyDescent="0.3"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2:27" ht="20.25" customHeight="1" x14ac:dyDescent="0.3"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  <row r="1041" spans="2:27" ht="20.25" customHeight="1" x14ac:dyDescent="0.3"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</row>
    <row r="1042" spans="2:27" ht="20.25" customHeight="1" x14ac:dyDescent="0.3"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</row>
    <row r="1043" spans="2:27" ht="20.25" customHeight="1" x14ac:dyDescent="0.3"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</row>
    <row r="1044" spans="2:27" ht="20.25" customHeight="1" x14ac:dyDescent="0.3"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</row>
    <row r="1045" spans="2:27" ht="20.25" customHeight="1" x14ac:dyDescent="0.3"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</row>
    <row r="1046" spans="2:27" ht="20.25" customHeight="1" x14ac:dyDescent="0.3"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</row>
    <row r="1047" spans="2:27" ht="20.25" customHeight="1" x14ac:dyDescent="0.3"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</row>
    <row r="1048" spans="2:27" ht="20.25" customHeight="1" x14ac:dyDescent="0.3"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</row>
    <row r="1049" spans="2:27" ht="20.25" customHeight="1" x14ac:dyDescent="0.3"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</row>
    <row r="1050" spans="2:27" ht="20.25" customHeight="1" x14ac:dyDescent="0.3"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</row>
    <row r="1051" spans="2:27" ht="20.25" customHeight="1" x14ac:dyDescent="0.3"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</row>
    <row r="1052" spans="2:27" ht="20.25" customHeight="1" x14ac:dyDescent="0.3"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</row>
    <row r="1053" spans="2:27" ht="20.25" customHeight="1" x14ac:dyDescent="0.3"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</row>
    <row r="1054" spans="2:27" ht="20.25" customHeight="1" x14ac:dyDescent="0.3"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</row>
    <row r="1055" spans="2:27" ht="20.25" customHeight="1" x14ac:dyDescent="0.3"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</row>
    <row r="1056" spans="2:27" ht="20.25" customHeight="1" x14ac:dyDescent="0.3"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</row>
    <row r="1057" spans="2:27" ht="20.25" customHeight="1" x14ac:dyDescent="0.3"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</row>
    <row r="1058" spans="2:27" ht="20.25" customHeight="1" x14ac:dyDescent="0.3"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</row>
    <row r="1059" spans="2:27" ht="20.25" customHeight="1" x14ac:dyDescent="0.3"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</row>
    <row r="1060" spans="2:27" ht="20.25" customHeight="1" x14ac:dyDescent="0.3"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</row>
    <row r="1061" spans="2:27" ht="20.25" customHeight="1" x14ac:dyDescent="0.3"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</row>
    <row r="1062" spans="2:27" ht="20.25" customHeight="1" x14ac:dyDescent="0.3"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</row>
    <row r="1063" spans="2:27" ht="20.25" customHeight="1" x14ac:dyDescent="0.3"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</row>
    <row r="1064" spans="2:27" ht="20.25" customHeight="1" x14ac:dyDescent="0.3"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</row>
    <row r="1065" spans="2:27" ht="20.25" customHeight="1" x14ac:dyDescent="0.3"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</row>
    <row r="1066" spans="2:27" ht="20.25" customHeight="1" x14ac:dyDescent="0.3"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</row>
    <row r="1067" spans="2:27" ht="20.25" customHeight="1" x14ac:dyDescent="0.3"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</row>
    <row r="1068" spans="2:27" ht="20.25" customHeight="1" x14ac:dyDescent="0.3"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</row>
    <row r="1069" spans="2:27" ht="20.25" customHeight="1" x14ac:dyDescent="0.3"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</row>
    <row r="1070" spans="2:27" ht="20.25" customHeight="1" x14ac:dyDescent="0.3"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</row>
    <row r="1071" spans="2:27" ht="20.25" customHeight="1" x14ac:dyDescent="0.3"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</row>
  </sheetData>
  <mergeCells count="10">
    <mergeCell ref="B89:E89"/>
    <mergeCell ref="D97:E97"/>
    <mergeCell ref="D98:E98"/>
    <mergeCell ref="B1:H1"/>
    <mergeCell ref="B3:B4"/>
    <mergeCell ref="C3:C4"/>
    <mergeCell ref="D3:D4"/>
    <mergeCell ref="E3:E4"/>
    <mergeCell ref="F3:G3"/>
    <mergeCell ref="H3:H4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LPA</vt:lpstr>
      <vt:lpstr>HPA</vt:lpstr>
      <vt:lpstr>HPA!Print_Titles</vt:lpstr>
      <vt:lpstr>LPA!Print_Titles</vt:lpstr>
    </vt:vector>
  </TitlesOfParts>
  <Company>KT-GrowUP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Pratchaya Rakkong</dc:creator>
  <cp:lastModifiedBy>jtec0453003@outlook.com</cp:lastModifiedBy>
  <cp:lastPrinted>2026-08-17T06:20:18Z</cp:lastPrinted>
  <dcterms:created xsi:type="dcterms:W3CDTF">2025-06-23T02:31:56Z</dcterms:created>
  <dcterms:modified xsi:type="dcterms:W3CDTF">2026-08-17T11:04:22Z</dcterms:modified>
</cp:coreProperties>
</file>